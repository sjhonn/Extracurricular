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SISTEMAS\Desktop\SESION 2\"/>
    </mc:Choice>
  </mc:AlternateContent>
  <xr:revisionPtr revIDLastSave="0" documentId="13_ncr:1_{01F94F58-6005-41E1-88A0-6B89FA891A03}" xr6:coauthVersionLast="47" xr6:coauthVersionMax="47" xr10:uidLastSave="{00000000-0000-0000-0000-000000000000}"/>
  <bookViews>
    <workbookView xWindow="-120" yWindow="-120" windowWidth="21840" windowHeight="13140" tabRatio="946" activeTab="7" xr2:uid="{2F8397B2-852B-4D69-B7F5-12D323BBACC4}"/>
  </bookViews>
  <sheets>
    <sheet name="BV1" sheetId="31" r:id="rId1"/>
    <sheet name="BV3" sheetId="12" r:id="rId2"/>
    <sheet name="BV4" sheetId="13" r:id="rId3"/>
    <sheet name="BV6" sheetId="15" state="hidden" r:id="rId4"/>
    <sheet name="BV8" sheetId="29" state="hidden" r:id="rId5"/>
    <sheet name="BV14" sheetId="19" state="hidden" r:id="rId6"/>
    <sheet name="BASE BV14" sheetId="20" state="hidden" r:id="rId7"/>
    <sheet name="BASE BV15" sheetId="33" r:id="rId8"/>
    <sheet name="BV16" sheetId="25" state="hidden" r:id="rId9"/>
    <sheet name="BV17" sheetId="5" state="hidden" r:id="rId10"/>
  </sheets>
  <externalReferences>
    <externalReference r:id="rId11"/>
    <externalReference r:id="rId12"/>
  </externalReferences>
  <definedNames>
    <definedName name="_f" hidden="1">3</definedName>
    <definedName name="ABRIL">#REF!</definedName>
    <definedName name="AFP">#REF!</definedName>
    <definedName name="anscount" localSheetId="4" hidden="1">2</definedName>
    <definedName name="anscount" hidden="1">2</definedName>
    <definedName name="Año">#REF!</definedName>
    <definedName name="_xlnm.Print_Area" localSheetId="9">'BV17'!$A$1:$R$31</definedName>
    <definedName name="BANCO">[1]banco!#REF!</definedName>
    <definedName name="base" localSheetId="7">'BASE BV15'!$A$3:$J$73</definedName>
    <definedName name="base">#REF!</definedName>
    <definedName name="Cod">'BASE BV14'!#REF!</definedName>
    <definedName name="cod.">'BASE BV15'!$A$3:$A$73</definedName>
    <definedName name="Cruz_Blanca">#REF!</definedName>
    <definedName name="CruzBlanca">#REF!</definedName>
    <definedName name="DATOS">#REF!</definedName>
    <definedName name="DIRECCION">#REF!</definedName>
    <definedName name="EMPRESA">#REF!</definedName>
    <definedName name="ff" hidden="1">2</definedName>
    <definedName name="Fonasa">#REF!</definedName>
    <definedName name="FONO">#REF!</definedName>
    <definedName name="Habitat">#REF!</definedName>
    <definedName name="ISAPRE">#REF!</definedName>
    <definedName name="limcount" localSheetId="4" hidden="1">2</definedName>
    <definedName name="limcount" hidden="1">3</definedName>
    <definedName name="lopu" hidden="1">2</definedName>
    <definedName name="lplp" hidden="1">3</definedName>
    <definedName name="matriz">#REF!</definedName>
    <definedName name="matriz1">#REF!</definedName>
    <definedName name="MAYO">#REF!</definedName>
    <definedName name="NOMBRE">#REF!</definedName>
    <definedName name="nuevo" hidden="1">2</definedName>
    <definedName name="Planvital">#REF!</definedName>
    <definedName name="PorcComision">[2]Hoja2!$H$5:$H$11</definedName>
    <definedName name="precios">[2]Hoja2!$G$5:$G$11</definedName>
    <definedName name="Producto">#REF!</definedName>
    <definedName name="Promepart">#REF!</definedName>
    <definedName name="Provida">#REF!</definedName>
    <definedName name="rut">#REF!</definedName>
    <definedName name="SALDO">#REF!</definedName>
    <definedName name="sencount" hidden="1">1</definedName>
    <definedName name="Summa">#REF!</definedName>
    <definedName name="super1">#REF!</definedName>
    <definedName name="super2">#REF!</definedName>
    <definedName name="TABLA">#REF!</definedName>
    <definedName name="TABLA1">#REF!</definedName>
    <definedName name="TABLA2">#REF!</definedName>
    <definedName name="Unidades">#REF!</definedName>
    <definedName name="UnidadesVendidas">[2]Hoja2!$F$5:$F$11</definedName>
    <definedName name="Vendedor">#REF!</definedName>
    <definedName name="Ventas">#REF!</definedName>
    <definedName name="Zona">#REF!</definedName>
  </definedNames>
  <calcPr calcId="191029"/>
</workbook>
</file>

<file path=xl/calcChain.xml><?xml version="1.0" encoding="utf-8"?>
<calcChain xmlns="http://schemas.openxmlformats.org/spreadsheetml/2006/main">
  <c r="D17" i="5" l="1"/>
  <c r="J17" i="5"/>
  <c r="D18" i="5"/>
  <c r="J18" i="5"/>
  <c r="D19" i="5"/>
  <c r="J19" i="5"/>
</calcChain>
</file>

<file path=xl/sharedStrings.xml><?xml version="1.0" encoding="utf-8"?>
<sst xmlns="http://schemas.openxmlformats.org/spreadsheetml/2006/main" count="1045" uniqueCount="553">
  <si>
    <t>=SI((D$16)&gt;0;BUSCARV(D$16;$C$6:$F$14;2;0);"")</t>
  </si>
  <si>
    <t>=SI((D$16)=0;"";BUSCARV(D$16;$C$6:$F$14;2;0);"")</t>
  </si>
  <si>
    <t>=SI(CONTAR.BLANCO(D$16)=1;"";BUSCARV(D$16;$C$6:$F$14;2;0);"")</t>
  </si>
  <si>
    <t>O:</t>
  </si>
  <si>
    <t>Copiar esta fórmula hacia abajo</t>
  </si>
  <si>
    <t>'=SI(D$16&lt;&gt;"";BUSCARV(D$16;$C$6:$F$14;2;0);"")</t>
  </si>
  <si>
    <t>las otras celdaS. (D17.D19)</t>
  </si>
  <si>
    <t>que cuando la celda D16 este vacia, aparezcan tambien vacios</t>
  </si>
  <si>
    <t>va a aparecer una N/A, modificar la función de manera tal</t>
  </si>
  <si>
    <t>Si elimina el Rut (D16)</t>
  </si>
  <si>
    <t>Cargo:</t>
  </si>
  <si>
    <t>Nombre:</t>
  </si>
  <si>
    <t>Apellido:</t>
  </si>
  <si>
    <t>10051998-4</t>
  </si>
  <si>
    <t>Rut:</t>
  </si>
  <si>
    <t>Secretaria</t>
  </si>
  <si>
    <t>Teresa</t>
  </si>
  <si>
    <t>Alvarez</t>
  </si>
  <si>
    <t>10032478-5</t>
  </si>
  <si>
    <t>Cajero</t>
  </si>
  <si>
    <t>Mario</t>
  </si>
  <si>
    <t>Romo</t>
  </si>
  <si>
    <t>12169584-7</t>
  </si>
  <si>
    <t>Vendedor</t>
  </si>
  <si>
    <t>Pablo</t>
  </si>
  <si>
    <t>Puga</t>
  </si>
  <si>
    <t>10145748-6</t>
  </si>
  <si>
    <t>Contador</t>
  </si>
  <si>
    <t>Jose</t>
  </si>
  <si>
    <t>Godoy</t>
  </si>
  <si>
    <t>12156478-K</t>
  </si>
  <si>
    <t>Despacho</t>
  </si>
  <si>
    <t>Luis</t>
  </si>
  <si>
    <t>Castro</t>
  </si>
  <si>
    <t>9756144-2</t>
  </si>
  <si>
    <t>Digitador</t>
  </si>
  <si>
    <t>Carlos</t>
  </si>
  <si>
    <t>Gomez</t>
  </si>
  <si>
    <t>12542727-9</t>
  </si>
  <si>
    <t>Bodega</t>
  </si>
  <si>
    <t>Kike</t>
  </si>
  <si>
    <t>Lopez</t>
  </si>
  <si>
    <t>Juan</t>
  </si>
  <si>
    <t>Pérez</t>
  </si>
  <si>
    <t>10652322-4</t>
  </si>
  <si>
    <t>CARGO</t>
  </si>
  <si>
    <t>NOMBRE</t>
  </si>
  <si>
    <t>APELLIDO</t>
  </si>
  <si>
    <t>RUT</t>
  </si>
  <si>
    <t>'=SI(ESERROR(BUSCARV($J$16;$I$6:$L$14;2;0));"No Existe";(BUSCARV($J$16;$I$6:$L$14;2;0)))</t>
  </si>
  <si>
    <t>'=SI(ESERROR(BUSCARV($J$16;$I$6:$L$14;3;0));"No Existe";(BUSCARV($J$16;$I$6:$L$14;3;0)))</t>
  </si>
  <si>
    <t>'=SI(ESERROR(BUSCARV($J$16;$I$6:$L$14;4;0));"No Existe";(BUSCARV($J$16;$I$6:$L$14;4;0)))</t>
  </si>
  <si>
    <t>AFP</t>
  </si>
  <si>
    <t>C</t>
  </si>
  <si>
    <t>B</t>
  </si>
  <si>
    <t>A</t>
  </si>
  <si>
    <t>Fonasa</t>
  </si>
  <si>
    <t>Consalud</t>
  </si>
  <si>
    <t>Cuprum</t>
  </si>
  <si>
    <t>Nombre</t>
  </si>
  <si>
    <t>Código</t>
  </si>
  <si>
    <t>Enrique Eguiguren</t>
  </si>
  <si>
    <t>Comuna</t>
  </si>
  <si>
    <t>Salario</t>
  </si>
  <si>
    <t>Cliente</t>
  </si>
  <si>
    <t>La Florida</t>
  </si>
  <si>
    <t>Vida tres</t>
  </si>
  <si>
    <t>Lorena Arias</t>
  </si>
  <si>
    <t>La Reina</t>
  </si>
  <si>
    <t>Banmedica</t>
  </si>
  <si>
    <t>Ñuñoa</t>
  </si>
  <si>
    <t>Carlos Sánchez</t>
  </si>
  <si>
    <t>Santiago Subercaseaux</t>
  </si>
  <si>
    <t>Patricia Soto</t>
  </si>
  <si>
    <t>Daniel Guitierrez</t>
  </si>
  <si>
    <t>Jorge Opazo</t>
  </si>
  <si>
    <t>Daniela Soto</t>
  </si>
  <si>
    <t>Juan Cid</t>
  </si>
  <si>
    <t>Isapre</t>
  </si>
  <si>
    <t>Pto Cristo</t>
  </si>
  <si>
    <t>Egas</t>
  </si>
  <si>
    <t>Agas</t>
  </si>
  <si>
    <t>N° de cajas</t>
  </si>
  <si>
    <t>Supermercado</t>
  </si>
  <si>
    <t>Uriarte</t>
  </si>
  <si>
    <t>Providencia</t>
  </si>
  <si>
    <t>Almac</t>
  </si>
  <si>
    <t>Unimarc</t>
  </si>
  <si>
    <t>Peñalolen</t>
  </si>
  <si>
    <t>AhorroMaz</t>
  </si>
  <si>
    <t>Santa Isabel</t>
  </si>
  <si>
    <t>San Francisco</t>
  </si>
  <si>
    <t>Maipu</t>
  </si>
  <si>
    <t>Montecarlo</t>
  </si>
  <si>
    <t>Cerrillos</t>
  </si>
  <si>
    <t>Marmentini</t>
  </si>
  <si>
    <t>Lider</t>
  </si>
  <si>
    <t>Ekono</t>
  </si>
  <si>
    <t>Carrefour</t>
  </si>
  <si>
    <t>Venta mensual en $M</t>
  </si>
  <si>
    <t>N° de personal</t>
  </si>
  <si>
    <t>Guillermo</t>
  </si>
  <si>
    <t>Jaime</t>
  </si>
  <si>
    <t>Nº de Hijos</t>
  </si>
  <si>
    <t>Depto</t>
  </si>
  <si>
    <t>Ciudad</t>
  </si>
  <si>
    <t>Folio</t>
  </si>
  <si>
    <t>Viudo</t>
  </si>
  <si>
    <t>Ventas</t>
  </si>
  <si>
    <t>Valparaíso</t>
  </si>
  <si>
    <t>Susana Dìas</t>
  </si>
  <si>
    <t>Soltero</t>
  </si>
  <si>
    <t>Santiago</t>
  </si>
  <si>
    <t>Daniela Benvente</t>
  </si>
  <si>
    <t>Producción</t>
  </si>
  <si>
    <t>Tecnico</t>
  </si>
  <si>
    <t>Jorge Ramiro</t>
  </si>
  <si>
    <t>Administración</t>
  </si>
  <si>
    <t>Daniel Campos</t>
  </si>
  <si>
    <t>Casado</t>
  </si>
  <si>
    <t>José Olea</t>
  </si>
  <si>
    <t>Jacinta Ulloa</t>
  </si>
  <si>
    <t>Susana Palominos</t>
  </si>
  <si>
    <t>Recepción</t>
  </si>
  <si>
    <t>Patricia Ortiz</t>
  </si>
  <si>
    <t>Jefe de Obra</t>
  </si>
  <si>
    <t>Juana Ordenes</t>
  </si>
  <si>
    <t>Dorotes Sepúlveda</t>
  </si>
  <si>
    <t>Ingeniero</t>
  </si>
  <si>
    <t>Juan Ollarzun</t>
  </si>
  <si>
    <t>Andres Oses</t>
  </si>
  <si>
    <t>Dibujante</t>
  </si>
  <si>
    <t>María Gómez</t>
  </si>
  <si>
    <t>Eduardo Cid</t>
  </si>
  <si>
    <t>Arquitecto</t>
  </si>
  <si>
    <t>Jorge Ramirez</t>
  </si>
  <si>
    <t>N° de hijos</t>
  </si>
  <si>
    <t>Estado Civil</t>
  </si>
  <si>
    <t>Departamento</t>
  </si>
  <si>
    <t>Antigüedad L.</t>
  </si>
  <si>
    <t>Profesion</t>
  </si>
  <si>
    <t>Producto</t>
  </si>
  <si>
    <t>Habitat</t>
  </si>
  <si>
    <t>Crédito de Consumo</t>
  </si>
  <si>
    <t>Ene</t>
  </si>
  <si>
    <t>Julio González</t>
  </si>
  <si>
    <t>Nov</t>
  </si>
  <si>
    <t>Roberto Cabrera G.</t>
  </si>
  <si>
    <t>Mauricio Aballay T.</t>
  </si>
  <si>
    <t>Marcos Díaz R.</t>
  </si>
  <si>
    <t>Cuenta Corriente</t>
  </si>
  <si>
    <t>Oct</t>
  </si>
  <si>
    <t>Arturo Mateluna G.</t>
  </si>
  <si>
    <t>Ago</t>
  </si>
  <si>
    <t>Ana Walbaum M.</t>
  </si>
  <si>
    <t>Jul</t>
  </si>
  <si>
    <t>Juan Mateluna G.</t>
  </si>
  <si>
    <t>Jun</t>
  </si>
  <si>
    <t>Sonia Campos</t>
  </si>
  <si>
    <t>May</t>
  </si>
  <si>
    <t>Soledad Brinck</t>
  </si>
  <si>
    <t>Abr</t>
  </si>
  <si>
    <t>Rodrigo Riesco C.</t>
  </si>
  <si>
    <t>Mar</t>
  </si>
  <si>
    <t>Rodrigo González</t>
  </si>
  <si>
    <t>Feb</t>
  </si>
  <si>
    <t>Rodrigo Cabrera G.</t>
  </si>
  <si>
    <t>Patricio Aballay T.</t>
  </si>
  <si>
    <t>Orlando Muñoz E.</t>
  </si>
  <si>
    <t>Jorge Barrios P.</t>
  </si>
  <si>
    <t>Elías Burgos O.</t>
  </si>
  <si>
    <t>Diana Walbaum M.</t>
  </si>
  <si>
    <t>Christian Falcón</t>
  </si>
  <si>
    <t>Saldo</t>
  </si>
  <si>
    <t>Compra</t>
  </si>
  <si>
    <t>Región</t>
  </si>
  <si>
    <t>Cupo</t>
  </si>
  <si>
    <t>Mes apertura</t>
  </si>
  <si>
    <t>Año apertura</t>
  </si>
  <si>
    <t>Cod_cliente</t>
  </si>
  <si>
    <t>Cod</t>
  </si>
  <si>
    <t>Planvital</t>
  </si>
  <si>
    <t>Promepart</t>
  </si>
  <si>
    <t>Descto.</t>
  </si>
  <si>
    <t>D</t>
  </si>
  <si>
    <t>Publicidad</t>
  </si>
  <si>
    <t>Ingeniería</t>
  </si>
  <si>
    <t>Aguin.</t>
  </si>
  <si>
    <t>Escalafón</t>
  </si>
  <si>
    <t>Adelanto</t>
  </si>
  <si>
    <t>B. Prod.</t>
  </si>
  <si>
    <t>Gratif.</t>
  </si>
  <si>
    <t>María Lepe</t>
  </si>
  <si>
    <t>Jaime Toro</t>
  </si>
  <si>
    <t>Eduardo Pavez</t>
  </si>
  <si>
    <t>Jorge Ortiz</t>
  </si>
  <si>
    <t>Angela Pérez</t>
  </si>
  <si>
    <t>Luis Castillo</t>
  </si>
  <si>
    <t>Rodrigo Reyes</t>
  </si>
  <si>
    <t>Mario Soto</t>
  </si>
  <si>
    <t>Sueldo Neto</t>
  </si>
  <si>
    <t>Desc. AFP</t>
  </si>
  <si>
    <t>Desc. Isapre</t>
  </si>
  <si>
    <t>Sueldo Bruto</t>
  </si>
  <si>
    <t>Aguinaldo</t>
  </si>
  <si>
    <t>Bono Prod.</t>
  </si>
  <si>
    <t>Gratific.</t>
  </si>
  <si>
    <t>Escalafon</t>
  </si>
  <si>
    <t>Sueldo</t>
  </si>
  <si>
    <t>Planilla de Pagos</t>
  </si>
  <si>
    <t>INGENIERÍA</t>
  </si>
  <si>
    <t>México</t>
  </si>
  <si>
    <t>american</t>
  </si>
  <si>
    <t>Berguvsvägen  8</t>
  </si>
  <si>
    <t>A-120</t>
  </si>
  <si>
    <t>MERCADO</t>
  </si>
  <si>
    <t>Francia</t>
  </si>
  <si>
    <t>lan</t>
  </si>
  <si>
    <t>120 Hanover Sq.</t>
  </si>
  <si>
    <t>A-119</t>
  </si>
  <si>
    <t>Reino Unido</t>
  </si>
  <si>
    <t>Mataderos  2312</t>
  </si>
  <si>
    <t>A-118</t>
  </si>
  <si>
    <t>Avda. de la Constitución 2222</t>
  </si>
  <si>
    <t>A-117</t>
  </si>
  <si>
    <t>I + D</t>
  </si>
  <si>
    <t>Alemania</t>
  </si>
  <si>
    <t>Obere Str. 57</t>
  </si>
  <si>
    <t>A-116</t>
  </si>
  <si>
    <t>klm</t>
  </si>
  <si>
    <t>Galera 14</t>
  </si>
  <si>
    <t>A-115</t>
  </si>
  <si>
    <t>CONTABILIDAD</t>
  </si>
  <si>
    <t>Brasil</t>
  </si>
  <si>
    <t>J.S. El Cano 4560</t>
  </si>
  <si>
    <t>A-114</t>
  </si>
  <si>
    <t>ladeco</t>
  </si>
  <si>
    <t>Sn Javier 477</t>
  </si>
  <si>
    <t>A-113</t>
  </si>
  <si>
    <t>Austria</t>
  </si>
  <si>
    <t>ibm</t>
  </si>
  <si>
    <t>Moby Dick 345</t>
  </si>
  <si>
    <t>A-112</t>
  </si>
  <si>
    <t>Canadá</t>
  </si>
  <si>
    <t>Sn. Javier 4566</t>
  </si>
  <si>
    <t>A-111</t>
  </si>
  <si>
    <t>Plaza de Castilla 1234</t>
  </si>
  <si>
    <t>A-110</t>
  </si>
  <si>
    <t>ADMINISTRACIÓN</t>
  </si>
  <si>
    <t>Suecia</t>
  </si>
  <si>
    <t>Lizt 6677</t>
  </si>
  <si>
    <t>A-109</t>
  </si>
  <si>
    <t>España</t>
  </si>
  <si>
    <t>Marte 3451</t>
  </si>
  <si>
    <t>A-108</t>
  </si>
  <si>
    <t>Balmaceda 23 E</t>
  </si>
  <si>
    <t>A-107</t>
  </si>
  <si>
    <t>Argentina</t>
  </si>
  <si>
    <t>Las Rejas 2341</t>
  </si>
  <si>
    <t>A-106</t>
  </si>
  <si>
    <t>San Pablo 1674</t>
  </si>
  <si>
    <t>A-105</t>
  </si>
  <si>
    <t>Providencia 1030</t>
  </si>
  <si>
    <t>A-104</t>
  </si>
  <si>
    <t>Bolma 235</t>
  </si>
  <si>
    <t>A-103</t>
  </si>
  <si>
    <t>Matucana 2390</t>
  </si>
  <si>
    <t>A-102</t>
  </si>
  <si>
    <t>Brasil 34</t>
  </si>
  <si>
    <t>A-101</t>
  </si>
  <si>
    <t>Alameda 234</t>
  </si>
  <si>
    <t>A-100</t>
  </si>
  <si>
    <t>Fecha de Ingreso</t>
  </si>
  <si>
    <t>DEPARTAMENTO</t>
  </si>
  <si>
    <t>País</t>
  </si>
  <si>
    <t>Dirección</t>
  </si>
  <si>
    <t>Forsterstr. 57</t>
  </si>
  <si>
    <t>Suiza</t>
  </si>
  <si>
    <t>Hauptstr. 29</t>
  </si>
  <si>
    <t>Walserweg 21</t>
  </si>
  <si>
    <t>Italia</t>
  </si>
  <si>
    <t>Barcelona</t>
  </si>
  <si>
    <t>Madrid</t>
  </si>
  <si>
    <t>C/ Araquil, 67</t>
  </si>
  <si>
    <t>Fauntleroy Circus</t>
  </si>
  <si>
    <t>23 Tsawassen Blvd.</t>
  </si>
  <si>
    <t>Sierras de Granada 9993</t>
  </si>
  <si>
    <t>Av. dos Lusíadas, 23</t>
  </si>
  <si>
    <t>Portugal</t>
  </si>
  <si>
    <t>Cerrito 333</t>
  </si>
  <si>
    <t>Ingreso</t>
  </si>
  <si>
    <t>edad</t>
  </si>
  <si>
    <t>Ocupación</t>
  </si>
  <si>
    <t>Administrativo</t>
  </si>
  <si>
    <t>Ramiro</t>
  </si>
  <si>
    <t>Pilar</t>
  </si>
  <si>
    <t>Gerente</t>
  </si>
  <si>
    <t>Ramón</t>
  </si>
  <si>
    <t>Dolores</t>
  </si>
  <si>
    <t>Abogado</t>
  </si>
  <si>
    <t>Pedro</t>
  </si>
  <si>
    <t>Cádiz</t>
  </si>
  <si>
    <t>Jerez</t>
  </si>
  <si>
    <t>Manuel</t>
  </si>
  <si>
    <t>Hospitalet</t>
  </si>
  <si>
    <t>David</t>
  </si>
  <si>
    <t>Ana</t>
  </si>
  <si>
    <t>José</t>
  </si>
  <si>
    <t>Getafe</t>
  </si>
  <si>
    <t>Esther</t>
  </si>
  <si>
    <t>Nuria</t>
  </si>
  <si>
    <t>Javier</t>
  </si>
  <si>
    <t>Antonia</t>
  </si>
  <si>
    <t>Agustín</t>
  </si>
  <si>
    <t>Luís</t>
  </si>
  <si>
    <t>Olga</t>
  </si>
  <si>
    <t>Mercedes</t>
  </si>
  <si>
    <t>María</t>
  </si>
  <si>
    <t>Edad</t>
  </si>
  <si>
    <t>Provincia</t>
  </si>
  <si>
    <t>GFGG</t>
  </si>
  <si>
    <t>negro</t>
  </si>
  <si>
    <t>gris</t>
  </si>
  <si>
    <t>café</t>
  </si>
  <si>
    <t>celeste</t>
  </si>
  <si>
    <t>rojo</t>
  </si>
  <si>
    <t>azul</t>
  </si>
  <si>
    <t>verde</t>
  </si>
  <si>
    <t>amarillo</t>
  </si>
  <si>
    <t>Apellido</t>
  </si>
  <si>
    <t>A-138</t>
  </si>
  <si>
    <t>Venezuela</t>
  </si>
  <si>
    <t>Frahmredder 112a</t>
  </si>
  <si>
    <t>Izquierdo</t>
  </si>
  <si>
    <t>Felipe</t>
  </si>
  <si>
    <t>A-146</t>
  </si>
  <si>
    <t>Bogenallee 51</t>
  </si>
  <si>
    <t>González</t>
  </si>
  <si>
    <t>A-145</t>
  </si>
  <si>
    <t>DISEÑO</t>
  </si>
  <si>
    <t>49 Gilbert St.</t>
  </si>
  <si>
    <t>Hernández</t>
  </si>
  <si>
    <t>A-134</t>
  </si>
  <si>
    <t>Pereira</t>
  </si>
  <si>
    <t>A-129</t>
  </si>
  <si>
    <t>Holz</t>
  </si>
  <si>
    <t>Michael</t>
  </si>
  <si>
    <t>A-167</t>
  </si>
  <si>
    <t>Wang</t>
  </si>
  <si>
    <t>Yang</t>
  </si>
  <si>
    <t>A-125</t>
  </si>
  <si>
    <t>Berglund</t>
  </si>
  <si>
    <t>Christina</t>
  </si>
  <si>
    <t>Larsson</t>
  </si>
  <si>
    <t>Maria</t>
  </si>
  <si>
    <t>Order Processing Dept.
2100 Paul Revere Blvd.</t>
  </si>
  <si>
    <t>Crowther</t>
  </si>
  <si>
    <t>Simon</t>
  </si>
  <si>
    <t>A-152</t>
  </si>
  <si>
    <t>9-8 Sekimai
Musashino-shi</t>
  </si>
  <si>
    <t>Bennett</t>
  </si>
  <si>
    <t>Helen</t>
  </si>
  <si>
    <t>A-137</t>
  </si>
  <si>
    <t>12, rue des Bouchers</t>
  </si>
  <si>
    <t>Brown</t>
  </si>
  <si>
    <t>Elizabeth</t>
  </si>
  <si>
    <t>A-124</t>
  </si>
  <si>
    <t>Hardy</t>
  </si>
  <si>
    <t>Thomas</t>
  </si>
  <si>
    <t>Devon</t>
  </si>
  <si>
    <t>Ann</t>
  </si>
  <si>
    <t>Ashworth</t>
  </si>
  <si>
    <t>Victoria</t>
  </si>
  <si>
    <t>Via dei Gelsomini, 153</t>
  </si>
  <si>
    <t>Isabel</t>
  </si>
  <si>
    <t>A-159</t>
  </si>
  <si>
    <t>67, rue des Cinquante Otages</t>
  </si>
  <si>
    <t>Rodriguez</t>
  </si>
  <si>
    <t>Lino</t>
  </si>
  <si>
    <t>A-133</t>
  </si>
  <si>
    <t>Noruega</t>
  </si>
  <si>
    <t>Tiergartenstraße 5</t>
  </si>
  <si>
    <t>Bergulfsen</t>
  </si>
  <si>
    <t>Jonas</t>
  </si>
  <si>
    <t>A-169</t>
  </si>
  <si>
    <t>170 Prince Edward Parade Hunter's Hill</t>
  </si>
  <si>
    <t>Fernández</t>
  </si>
  <si>
    <t>A-157</t>
  </si>
  <si>
    <t xml:space="preserve">Berkeley Gardens 12  Brewery </t>
  </si>
  <si>
    <t>Chang</t>
  </si>
  <si>
    <t>Francisco</t>
  </si>
  <si>
    <t>A-131</t>
  </si>
  <si>
    <t>Moreno</t>
  </si>
  <si>
    <t>Antonio</t>
  </si>
  <si>
    <t>A-121</t>
  </si>
  <si>
    <t>Trujillo</t>
  </si>
  <si>
    <t>Moroni</t>
  </si>
  <si>
    <t>Maurizio</t>
  </si>
  <si>
    <t>A-165</t>
  </si>
  <si>
    <t>Hatlevegen 5</t>
  </si>
  <si>
    <t>Rovelli</t>
  </si>
  <si>
    <t>Giovanni</t>
  </si>
  <si>
    <t>A-148</t>
  </si>
  <si>
    <t>Accorti</t>
  </si>
  <si>
    <t>Paolo</t>
  </si>
  <si>
    <t>A-130</t>
  </si>
  <si>
    <t>Irlanda</t>
  </si>
  <si>
    <t>707 Oxford Rd.</t>
  </si>
  <si>
    <t>McKenna</t>
  </si>
  <si>
    <t>Patricia</t>
  </si>
  <si>
    <t>A-136</t>
  </si>
  <si>
    <t>Valtakatu 12</t>
  </si>
  <si>
    <t>Bertrand</t>
  </si>
  <si>
    <t>Marie</t>
  </si>
  <si>
    <t>A-156</t>
  </si>
  <si>
    <t>74 Rose St.
Moonie Ponds</t>
  </si>
  <si>
    <t>Roulet</t>
  </si>
  <si>
    <t>Annette</t>
  </si>
  <si>
    <t>A-140</t>
  </si>
  <si>
    <t>92 Setsuko
Chuo-ku</t>
  </si>
  <si>
    <t>Tonini</t>
  </si>
  <si>
    <t>Daniel</t>
  </si>
  <si>
    <t>A-139</t>
  </si>
  <si>
    <t>Lebihan</t>
  </si>
  <si>
    <t>Laurence</t>
  </si>
  <si>
    <t>A-128</t>
  </si>
  <si>
    <t>Rancé</t>
  </si>
  <si>
    <t>Martine</t>
  </si>
  <si>
    <t>Citeaux</t>
  </si>
  <si>
    <t>Frédérique</t>
  </si>
  <si>
    <t>Labrune</t>
  </si>
  <si>
    <t>Janine</t>
  </si>
  <si>
    <t>Schmitt</t>
  </si>
  <si>
    <t>Carine</t>
  </si>
  <si>
    <t>Av. das Americanas 12.890</t>
  </si>
  <si>
    <t>Camino</t>
  </si>
  <si>
    <t>Alejandra</t>
  </si>
  <si>
    <t>A-168</t>
  </si>
  <si>
    <t>Saavedra</t>
  </si>
  <si>
    <t>Eduardo</t>
  </si>
  <si>
    <t>Freyre</t>
  </si>
  <si>
    <t>Sommer</t>
  </si>
  <si>
    <t>Martín</t>
  </si>
  <si>
    <t>Roel</t>
  </si>
  <si>
    <t>Diego</t>
  </si>
  <si>
    <t>EE. UU.</t>
  </si>
  <si>
    <t>Wilson</t>
  </si>
  <si>
    <t>Paula</t>
  </si>
  <si>
    <t>A-164</t>
  </si>
  <si>
    <t>Lyngbysild Fiskebakken 10</t>
  </si>
  <si>
    <t>Phillips</t>
  </si>
  <si>
    <t>Rene</t>
  </si>
  <si>
    <t>A-154</t>
  </si>
  <si>
    <t>Viale Dante, 75</t>
  </si>
  <si>
    <t>Fran</t>
  </si>
  <si>
    <t>A-147</t>
  </si>
  <si>
    <t>Yorres</t>
  </si>
  <si>
    <t>A-144</t>
  </si>
  <si>
    <t>Kaloadagatan 13</t>
  </si>
  <si>
    <t>Steel</t>
  </si>
  <si>
    <t>John</t>
  </si>
  <si>
    <t>A-142</t>
  </si>
  <si>
    <t>P.O. Box 78934</t>
  </si>
  <si>
    <t>Latimer</t>
  </si>
  <si>
    <t>Yoshi</t>
  </si>
  <si>
    <t>A-135</t>
  </si>
  <si>
    <t>24, place Kléber</t>
  </si>
  <si>
    <t>Snyder</t>
  </si>
  <si>
    <t>Howard</t>
  </si>
  <si>
    <t>A-122</t>
  </si>
  <si>
    <t>Brovallavägen 231</t>
  </si>
  <si>
    <t>Fresnière</t>
  </si>
  <si>
    <t>Jean</t>
  </si>
  <si>
    <t>A-150</t>
  </si>
  <si>
    <t>29 King's Way</t>
  </si>
  <si>
    <t>Tannamuri</t>
  </si>
  <si>
    <t>A-141</t>
  </si>
  <si>
    <t>Lincoln</t>
  </si>
  <si>
    <t>Limeira</t>
  </si>
  <si>
    <t>Janete</t>
  </si>
  <si>
    <t>A-166</t>
  </si>
  <si>
    <t>Bat. B
3, rue des Alpes</t>
  </si>
  <si>
    <t>Carvalho</t>
  </si>
  <si>
    <t>Lúcia</t>
  </si>
  <si>
    <t>A-161</t>
  </si>
  <si>
    <t>22, rue H. Voiron</t>
  </si>
  <si>
    <t>Batista</t>
  </si>
  <si>
    <t>Bernardo</t>
  </si>
  <si>
    <t>A-160</t>
  </si>
  <si>
    <t>Pontes</t>
  </si>
  <si>
    <t>A-132</t>
  </si>
  <si>
    <t>Cruz</t>
  </si>
  <si>
    <t>Aria</t>
  </si>
  <si>
    <t>A-127</t>
  </si>
  <si>
    <t>Fonseca</t>
  </si>
  <si>
    <t>André</t>
  </si>
  <si>
    <t>Afonso</t>
  </si>
  <si>
    <t>Bélgica</t>
  </si>
  <si>
    <t>3400 - 8th Avenue
Suite 210</t>
  </si>
  <si>
    <t>Dewey</t>
  </si>
  <si>
    <t>Catherine</t>
  </si>
  <si>
    <t>A-149</t>
  </si>
  <si>
    <t>2960 Rue St. Laurent</t>
  </si>
  <si>
    <t>Pipps</t>
  </si>
  <si>
    <t>Georg</t>
  </si>
  <si>
    <t>A-158</t>
  </si>
  <si>
    <t>Mendel</t>
  </si>
  <si>
    <t>Roland</t>
  </si>
  <si>
    <t>Gutiérrez</t>
  </si>
  <si>
    <t>Sergio</t>
  </si>
  <si>
    <t>A-163</t>
  </si>
  <si>
    <t>471 Serangoon Loop, Suite #402</t>
  </si>
  <si>
    <t>Moncada</t>
  </si>
  <si>
    <t>Yvonne</t>
  </si>
  <si>
    <t>A-153</t>
  </si>
  <si>
    <t>Simpson</t>
  </si>
  <si>
    <t>Patricio</t>
  </si>
  <si>
    <t>148 rue Chasseur</t>
  </si>
  <si>
    <t>Kloss</t>
  </si>
  <si>
    <t>Horst</t>
  </si>
  <si>
    <t>A-162</t>
  </si>
  <si>
    <t>Verkoop
Rijnweg 22</t>
  </si>
  <si>
    <t>Pfalzheim</t>
  </si>
  <si>
    <t>Henriette</t>
  </si>
  <si>
    <t>A-155</t>
  </si>
  <si>
    <t>203, Rue des Francs-Bourgeois</t>
  </si>
  <si>
    <t>Feuer</t>
  </si>
  <si>
    <t>Alexander</t>
  </si>
  <si>
    <t>A-151</t>
  </si>
  <si>
    <t>Messner</t>
  </si>
  <si>
    <t>Renate</t>
  </si>
  <si>
    <t>A-143</t>
  </si>
  <si>
    <t>Calle del Rosal 4</t>
  </si>
  <si>
    <t>Cramer</t>
  </si>
  <si>
    <t>Philip</t>
  </si>
  <si>
    <t>Franken</t>
  </si>
  <si>
    <t>Peter</t>
  </si>
  <si>
    <t>A-126</t>
  </si>
  <si>
    <t>Moos</t>
  </si>
  <si>
    <t>Hanna</t>
  </si>
  <si>
    <t>A-123</t>
  </si>
  <si>
    <t>Anders</t>
  </si>
  <si>
    <t>Ottlieb</t>
  </si>
  <si>
    <t>Sven</t>
  </si>
  <si>
    <t>sueldo</t>
  </si>
  <si>
    <t>empresa</t>
  </si>
  <si>
    <t>telefono</t>
  </si>
  <si>
    <t>KJK</t>
  </si>
  <si>
    <t xml:space="preserve">      Lograr mediante función Buscarv, que al ingresar un código en la celda A30, de la base de datos</t>
  </si>
  <si>
    <t>muestre el nombre, ocupación, edad y el ingreso (a partir de celda B29)</t>
  </si>
  <si>
    <t>Cliente cuenta corriente especial</t>
  </si>
  <si>
    <t>Color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</si>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</sst>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1" formatCode="_-* #,##0_-;\-* #,##0_-;_-* &quot;-&quot;_-;_-@_-"/>
    <numFmt numFmtId="43" formatCode="_-* #,##0.00_-;\-* #,##0.00_-;_-* &quot;-&quot;??_-;_-@_-"/>
    <numFmt numFmtId="164" formatCode="_-&quot;$&quot;\ * #,##0_-;\-&quot;$&quot;\ * #,##0_-;_-&quot;$&quot;\ * &quot;-&quot;_-;_-@_-"/>
    <numFmt numFmtId="165" formatCode="_-* #,##0\ &quot;pta&quot;_-;\-* #,##0\ &quot;pta&quot;_-;_-* &quot;-&quot;\ &quot;pta&quot;_-;_-@_-"/>
    <numFmt numFmtId="166" formatCode="_-* #,##0\ _p_t_a_-;\-* #,##0\ _p_t_a_-;_-* &quot;-&quot;\ _p_t_a_-;_-@_-"/>
    <numFmt numFmtId="167" formatCode="_-* #,##0.00\ &quot;pta&quot;_-;\-* #,##0.00\ &quot;pta&quot;_-;_-* &quot;-&quot;??\ &quot;pta&quot;_-;_-@_-"/>
    <numFmt numFmtId="168" formatCode="0.0%"/>
    <numFmt numFmtId="169" formatCode="&quot;$&quot;\ #,##0"/>
    <numFmt numFmtId="170" formatCode="mmmm\ d\,\ yyyy"/>
    <numFmt numFmtId="171" formatCode="&quot;$&quot;#,##0.00"/>
    <numFmt numFmtId="172" formatCode="[$€]\ #,##0"/>
    <numFmt numFmtId="173" formatCode="_(* #,##0.00_);_(* \(#,##0.00\);_(* &quot;-&quot;??_);_(@_)"/>
    <numFmt numFmtId="174" formatCode="_(&quot;$&quot;* #,##0.00_);_(&quot;$&quot;* \(#,##0.00\);_(&quot;$&quot;* &quot;-&quot;??_);_(@_)"/>
    <numFmt numFmtId="175" formatCode="_(* #,##0_);_(* \(#,##0\);_(* &quot;-&quot;??_);_(@_)"/>
    <numFmt numFmtId="176" formatCode="_(&quot;$&quot;* #,##0_);_(&quot;$&quot;* \(#,##0\);_(&quot;$&quot;* &quot;-&quot;??_);_(@_)"/>
    <numFmt numFmtId="177" formatCode="_-[$€-2]\ * #,##0_-;\-[$€-2]\ * #,##0_-;_-[$€-2]\ * &quot;-&quot;??_-"/>
    <numFmt numFmtId="178" formatCode="[$$-340A]\ #,##0"/>
    <numFmt numFmtId="179" formatCode="_(&quot;Ch$&quot;* #,##0.00_);_(&quot;Ch$&quot;* \(#,##0.00\);_(&quot;Ch$&quot;* &quot;-&quot;??_);_(@_)"/>
    <numFmt numFmtId="180" formatCode="_-* #,##0_-;\-* #,##0_-;_-* &quot;-&quot;??_-;_-@_-"/>
    <numFmt numFmtId="181" formatCode="_ &quot;$&quot;* #,##0_ ;_ &quot;$&quot;* \-#,##0_ ;_ &quot;$&quot;* &quot;-&quot;_ ;_ @_ "/>
  </numFmts>
  <fonts count="23">
    <font>
      <sz val="10"/>
      <name val="Arial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i/>
      <sz val="10"/>
      <name val="Arial"/>
      <family val="2"/>
    </font>
    <font>
      <b/>
      <sz val="10"/>
      <color indexed="9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0"/>
      <name val="Albertus Medium"/>
    </font>
    <font>
      <sz val="10"/>
      <name val="MS Sans Serif"/>
      <family val="2"/>
    </font>
    <font>
      <sz val="8"/>
      <name val="Arial"/>
      <family val="2"/>
    </font>
    <font>
      <b/>
      <sz val="12"/>
      <name val="Arial"/>
      <family val="2"/>
    </font>
    <font>
      <b/>
      <sz val="10"/>
      <name val="MS Sans Serif"/>
      <family val="2"/>
    </font>
    <font>
      <b/>
      <sz val="8"/>
      <name val="Arial"/>
      <family val="2"/>
    </font>
    <font>
      <sz val="10"/>
      <color indexed="8"/>
      <name val="Arial"/>
      <family val="2"/>
    </font>
    <font>
      <sz val="10"/>
      <color indexed="8"/>
      <name val="MS Sans Serif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4"/>
      <color indexed="12"/>
      <name val="Arial"/>
      <family val="2"/>
    </font>
    <font>
      <b/>
      <sz val="10"/>
      <color indexed="18"/>
      <name val="Arial"/>
      <family val="2"/>
    </font>
    <font>
      <sz val="10"/>
      <color indexed="18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4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medium">
        <color indexed="56"/>
      </top>
      <bottom/>
      <diagonal/>
    </border>
    <border>
      <left/>
      <right style="medium">
        <color indexed="56"/>
      </right>
      <top style="medium">
        <color indexed="56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5">
    <xf numFmtId="0" fontId="0" fillId="0" borderId="0"/>
    <xf numFmtId="170" fontId="8" fillId="0" borderId="0" applyFill="0" applyBorder="0" applyAlignment="0"/>
    <xf numFmtId="168" fontId="3" fillId="0" borderId="0" applyFill="0" applyBorder="0" applyAlignment="0"/>
    <xf numFmtId="171" fontId="3" fillId="0" borderId="0" applyFill="0" applyBorder="0" applyAlignment="0"/>
    <xf numFmtId="38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15" fontId="2" fillId="2" borderId="1"/>
    <xf numFmtId="170" fontId="8" fillId="0" borderId="0" applyFill="0" applyBorder="0" applyAlignment="0"/>
    <xf numFmtId="172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4" fontId="3" fillId="0" borderId="0" applyFill="0" applyBorder="0" applyProtection="0">
      <alignment horizontal="center" vertical="center"/>
    </xf>
    <xf numFmtId="38" fontId="10" fillId="2" borderId="0" applyNumberFormat="0" applyBorder="0" applyAlignment="0" applyProtection="0"/>
    <xf numFmtId="0" fontId="11" fillId="0" borderId="2" applyNumberFormat="0" applyAlignment="0" applyProtection="0">
      <alignment horizontal="left" vertical="center"/>
    </xf>
    <xf numFmtId="0" fontId="11" fillId="0" borderId="3">
      <alignment horizontal="left" vertical="center"/>
    </xf>
    <xf numFmtId="0" fontId="12" fillId="0" borderId="0" applyNumberFormat="0" applyFill="0" applyBorder="0" applyAlignment="0" applyProtection="0"/>
    <xf numFmtId="10" fontId="10" fillId="3" borderId="4" applyNumberFormat="0" applyBorder="0" applyAlignment="0" applyProtection="0"/>
    <xf numFmtId="170" fontId="8" fillId="0" borderId="0" applyFill="0" applyBorder="0" applyAlignment="0"/>
    <xf numFmtId="43" fontId="1" fillId="0" borderId="0" applyFont="0" applyFill="0" applyBorder="0" applyAlignment="0" applyProtection="0"/>
    <xf numFmtId="168" fontId="22" fillId="0" borderId="0" applyFont="0" applyFill="0" applyBorder="0" applyAlignment="0" applyProtection="0"/>
    <xf numFmtId="41" fontId="6" fillId="0" borderId="0" applyFont="0" applyFill="0" applyBorder="0" applyAlignment="0" applyProtection="0"/>
    <xf numFmtId="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6" fontId="21" fillId="0" borderId="0" applyFont="0" applyFill="0" applyBorder="0" applyAlignment="0" applyProtection="0"/>
    <xf numFmtId="17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1" fontId="22" fillId="0" borderId="0" applyFont="0" applyFill="0" applyBorder="0" applyAlignment="0" applyProtection="0"/>
    <xf numFmtId="164" fontId="6" fillId="0" borderId="0" applyFont="0" applyFill="0" applyBorder="0" applyAlignment="0" applyProtection="0"/>
    <xf numFmtId="165" fontId="3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74" fontId="14" fillId="0" borderId="0" applyFont="0" applyFill="0" applyBorder="0" applyAlignment="0" applyProtection="0"/>
    <xf numFmtId="179" fontId="3" fillId="0" borderId="0" applyFont="0" applyFill="0" applyBorder="0" applyAlignment="0" applyProtection="0"/>
    <xf numFmtId="170" fontId="3" fillId="0" borderId="0"/>
    <xf numFmtId="0" fontId="3" fillId="0" borderId="0"/>
    <xf numFmtId="0" fontId="3" fillId="0" borderId="0"/>
    <xf numFmtId="0" fontId="15" fillId="0" borderId="0"/>
    <xf numFmtId="0" fontId="15" fillId="0" borderId="0"/>
    <xf numFmtId="0" fontId="15" fillId="0" borderId="0"/>
    <xf numFmtId="10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70" fontId="8" fillId="0" borderId="0" applyFill="0" applyBorder="0" applyAlignment="0"/>
    <xf numFmtId="49" fontId="7" fillId="0" borderId="0" applyFill="0" applyBorder="0" applyAlignment="0"/>
    <xf numFmtId="170" fontId="8" fillId="0" borderId="0" applyFill="0" applyBorder="0" applyAlignment="0"/>
  </cellStyleXfs>
  <cellXfs count="133">
    <xf numFmtId="0" fontId="0" fillId="0" borderId="0" xfId="0"/>
    <xf numFmtId="0" fontId="2" fillId="0" borderId="0" xfId="0" applyFont="1"/>
    <xf numFmtId="0" fontId="0" fillId="0" borderId="4" xfId="0" applyBorder="1" applyAlignment="1">
      <alignment horizontal="center"/>
    </xf>
    <xf numFmtId="0" fontId="0" fillId="0" borderId="0" xfId="0" quotePrefix="1"/>
    <xf numFmtId="0" fontId="0" fillId="4" borderId="0" xfId="0" applyFill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0" borderId="10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0" borderId="0" xfId="33"/>
    <xf numFmtId="0" fontId="2" fillId="0" borderId="0" xfId="33" applyFont="1" applyAlignment="1">
      <alignment horizontal="center"/>
    </xf>
    <xf numFmtId="0" fontId="3" fillId="0" borderId="0" xfId="33" applyAlignment="1">
      <alignment horizontal="center"/>
    </xf>
    <xf numFmtId="0" fontId="3" fillId="5" borderId="11" xfId="33" applyFill="1" applyBorder="1"/>
    <xf numFmtId="0" fontId="3" fillId="6" borderId="12" xfId="33" applyFill="1" applyBorder="1"/>
    <xf numFmtId="0" fontId="3" fillId="6" borderId="13" xfId="33" applyFill="1" applyBorder="1"/>
    <xf numFmtId="0" fontId="15" fillId="0" borderId="0" xfId="36"/>
    <xf numFmtId="0" fontId="16" fillId="0" borderId="14" xfId="36" applyFont="1" applyBorder="1" applyAlignment="1">
      <alignment horizontal="center" vertical="center" wrapText="1"/>
    </xf>
    <xf numFmtId="0" fontId="16" fillId="0" borderId="15" xfId="36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7" fillId="2" borderId="16" xfId="0" applyFont="1" applyFill="1" applyBorder="1" applyAlignment="1">
      <alignment horizontal="center"/>
    </xf>
    <xf numFmtId="0" fontId="17" fillId="2" borderId="17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17" fillId="2" borderId="18" xfId="0" applyFont="1" applyFill="1" applyBorder="1" applyAlignment="1">
      <alignment horizontal="center"/>
    </xf>
    <xf numFmtId="0" fontId="2" fillId="0" borderId="0" xfId="33" applyFont="1" applyAlignment="1">
      <alignment horizontal="centerContinuous"/>
    </xf>
    <xf numFmtId="14" fontId="19" fillId="0" borderId="0" xfId="33" applyNumberFormat="1" applyFont="1" applyAlignment="1">
      <alignment horizontal="left" indent="1"/>
    </xf>
    <xf numFmtId="14" fontId="19" fillId="0" borderId="0" xfId="33" applyNumberFormat="1" applyFont="1"/>
    <xf numFmtId="0" fontId="19" fillId="0" borderId="0" xfId="33" applyFont="1" applyAlignment="1">
      <alignment horizontal="left" indent="2"/>
    </xf>
    <xf numFmtId="0" fontId="19" fillId="0" borderId="0" xfId="33" applyFont="1"/>
    <xf numFmtId="0" fontId="3" fillId="5" borderId="14" xfId="33" applyFill="1" applyBorder="1"/>
    <xf numFmtId="0" fontId="15" fillId="5" borderId="19" xfId="36" applyFill="1" applyBorder="1" applyAlignment="1">
      <alignment horizontal="center"/>
    </xf>
    <xf numFmtId="175" fontId="15" fillId="5" borderId="20" xfId="36" applyNumberFormat="1" applyFill="1" applyBorder="1"/>
    <xf numFmtId="41" fontId="6" fillId="5" borderId="21" xfId="19" applyFill="1" applyBorder="1"/>
    <xf numFmtId="164" fontId="6" fillId="5" borderId="22" xfId="26" applyFill="1" applyBorder="1"/>
    <xf numFmtId="164" fontId="6" fillId="5" borderId="21" xfId="26" applyFill="1" applyBorder="1"/>
    <xf numFmtId="0" fontId="3" fillId="5" borderId="23" xfId="0" applyFont="1" applyFill="1" applyBorder="1" applyAlignment="1">
      <alignment horizontal="center"/>
    </xf>
    <xf numFmtId="0" fontId="4" fillId="5" borderId="24" xfId="0" quotePrefix="1" applyFont="1" applyFill="1" applyBorder="1"/>
    <xf numFmtId="0" fontId="4" fillId="5" borderId="25" xfId="0" quotePrefix="1" applyFont="1" applyFill="1" applyBorder="1"/>
    <xf numFmtId="1" fontId="6" fillId="5" borderId="21" xfId="39" applyNumberFormat="1" applyFont="1" applyFill="1" applyBorder="1"/>
    <xf numFmtId="180" fontId="6" fillId="5" borderId="21" xfId="17" applyNumberFormat="1" applyFont="1" applyFill="1" applyBorder="1"/>
    <xf numFmtId="0" fontId="15" fillId="0" borderId="19" xfId="36" applyBorder="1" applyAlignment="1">
      <alignment horizontal="center"/>
    </xf>
    <xf numFmtId="175" fontId="15" fillId="0" borderId="20" xfId="36" applyNumberFormat="1" applyBorder="1"/>
    <xf numFmtId="1" fontId="0" fillId="0" borderId="4" xfId="0" applyNumberFormat="1" applyBorder="1"/>
    <xf numFmtId="0" fontId="3" fillId="7" borderId="4" xfId="33" applyFill="1" applyBorder="1"/>
    <xf numFmtId="0" fontId="2" fillId="7" borderId="4" xfId="33" applyFont="1" applyFill="1" applyBorder="1" applyAlignment="1">
      <alignment horizontal="center"/>
    </xf>
    <xf numFmtId="0" fontId="3" fillId="8" borderId="4" xfId="33" applyFill="1" applyBorder="1"/>
    <xf numFmtId="0" fontId="3" fillId="8" borderId="4" xfId="33" applyFill="1" applyBorder="1" applyAlignment="1">
      <alignment horizontal="center"/>
    </xf>
    <xf numFmtId="169" fontId="3" fillId="8" borderId="4" xfId="20" applyNumberFormat="1" applyFill="1" applyBorder="1"/>
    <xf numFmtId="0" fontId="3" fillId="8" borderId="4" xfId="33" quotePrefix="1" applyFill="1" applyBorder="1" applyAlignment="1">
      <alignment horizontal="left"/>
    </xf>
    <xf numFmtId="0" fontId="2" fillId="7" borderId="4" xfId="33" applyFont="1" applyFill="1" applyBorder="1" applyAlignment="1">
      <alignment horizontal="center" vertical="center"/>
    </xf>
    <xf numFmtId="169" fontId="3" fillId="8" borderId="4" xfId="33" applyNumberFormat="1" applyFill="1" applyBorder="1"/>
    <xf numFmtId="0" fontId="13" fillId="7" borderId="4" xfId="33" applyFont="1" applyFill="1" applyBorder="1" applyAlignment="1">
      <alignment horizontal="center"/>
    </xf>
    <xf numFmtId="0" fontId="3" fillId="9" borderId="4" xfId="33" applyFill="1" applyBorder="1" applyAlignment="1">
      <alignment horizontal="center"/>
    </xf>
    <xf numFmtId="0" fontId="3" fillId="9" borderId="4" xfId="33" applyFill="1" applyBorder="1"/>
    <xf numFmtId="0" fontId="3" fillId="9" borderId="26" xfId="33" applyFill="1" applyBorder="1"/>
    <xf numFmtId="0" fontId="3" fillId="9" borderId="27" xfId="33" applyFill="1" applyBorder="1"/>
    <xf numFmtId="0" fontId="20" fillId="7" borderId="4" xfId="33" applyFont="1" applyFill="1" applyBorder="1"/>
    <xf numFmtId="178" fontId="20" fillId="7" borderId="4" xfId="9" applyNumberFormat="1" applyFont="1" applyFill="1" applyBorder="1"/>
    <xf numFmtId="0" fontId="5" fillId="10" borderId="28" xfId="33" applyFont="1" applyFill="1" applyBorder="1" applyAlignment="1">
      <alignment horizontal="center"/>
    </xf>
    <xf numFmtId="0" fontId="5" fillId="10" borderId="29" xfId="33" applyFont="1" applyFill="1" applyBorder="1" applyAlignment="1">
      <alignment horizontal="center"/>
    </xf>
    <xf numFmtId="164" fontId="5" fillId="10" borderId="30" xfId="27" applyNumberFormat="1" applyFont="1" applyFill="1" applyBorder="1" applyAlignment="1">
      <alignment horizontal="center"/>
    </xf>
    <xf numFmtId="0" fontId="0" fillId="7" borderId="4" xfId="0" applyFill="1" applyBorder="1"/>
    <xf numFmtId="0" fontId="15" fillId="9" borderId="31" xfId="36" applyFill="1" applyBorder="1" applyAlignment="1">
      <alignment horizontal="center"/>
    </xf>
    <xf numFmtId="176" fontId="15" fillId="9" borderId="22" xfId="30" applyNumberFormat="1" applyFont="1" applyFill="1" applyBorder="1"/>
    <xf numFmtId="0" fontId="15" fillId="9" borderId="26" xfId="36" applyFill="1" applyBorder="1" applyAlignment="1">
      <alignment horizontal="center"/>
    </xf>
    <xf numFmtId="176" fontId="15" fillId="9" borderId="11" xfId="30" applyNumberFormat="1" applyFont="1" applyFill="1" applyBorder="1"/>
    <xf numFmtId="0" fontId="16" fillId="7" borderId="17" xfId="36" applyFont="1" applyFill="1" applyBorder="1" applyAlignment="1">
      <alignment horizontal="center"/>
    </xf>
    <xf numFmtId="0" fontId="16" fillId="7" borderId="16" xfId="36" applyFont="1" applyFill="1" applyBorder="1" applyAlignment="1">
      <alignment horizontal="center"/>
    </xf>
    <xf numFmtId="0" fontId="16" fillId="7" borderId="17" xfId="36" applyFont="1" applyFill="1" applyBorder="1"/>
    <xf numFmtId="0" fontId="16" fillId="7" borderId="32" xfId="36" applyFont="1" applyFill="1" applyBorder="1" applyAlignment="1">
      <alignment horizontal="center" vertical="center" wrapText="1"/>
    </xf>
    <xf numFmtId="0" fontId="16" fillId="7" borderId="17" xfId="36" applyFont="1" applyFill="1" applyBorder="1" applyAlignment="1">
      <alignment horizontal="center" vertical="center" wrapText="1"/>
    </xf>
    <xf numFmtId="0" fontId="16" fillId="7" borderId="18" xfId="36" applyFont="1" applyFill="1" applyBorder="1" applyAlignment="1">
      <alignment horizontal="center" vertical="center" wrapText="1"/>
    </xf>
    <xf numFmtId="0" fontId="16" fillId="7" borderId="15" xfId="36" applyFont="1" applyFill="1" applyBorder="1" applyAlignment="1">
      <alignment horizontal="center" vertical="center" wrapText="1"/>
    </xf>
    <xf numFmtId="0" fontId="16" fillId="7" borderId="14" xfId="36" applyFont="1" applyFill="1" applyBorder="1" applyAlignment="1">
      <alignment horizontal="center" vertical="center" wrapText="1"/>
    </xf>
    <xf numFmtId="0" fontId="15" fillId="8" borderId="26" xfId="36" applyFill="1" applyBorder="1" applyAlignment="1">
      <alignment horizontal="center"/>
    </xf>
    <xf numFmtId="0" fontId="14" fillId="8" borderId="33" xfId="37" applyFont="1" applyFill="1" applyBorder="1" applyAlignment="1">
      <alignment horizontal="left" wrapText="1"/>
    </xf>
    <xf numFmtId="0" fontId="15" fillId="8" borderId="4" xfId="36" applyFill="1" applyBorder="1" applyAlignment="1">
      <alignment horizontal="center"/>
    </xf>
    <xf numFmtId="175" fontId="6" fillId="8" borderId="4" xfId="23" applyNumberFormat="1" applyFill="1" applyBorder="1"/>
    <xf numFmtId="0" fontId="15" fillId="8" borderId="4" xfId="36" applyFill="1" applyBorder="1"/>
    <xf numFmtId="0" fontId="15" fillId="8" borderId="33" xfId="36" applyFill="1" applyBorder="1"/>
    <xf numFmtId="0" fontId="2" fillId="8" borderId="4" xfId="33" applyFont="1" applyFill="1" applyBorder="1" applyAlignment="1">
      <alignment horizontal="center" vertical="center" wrapText="1"/>
    </xf>
    <xf numFmtId="0" fontId="13" fillId="8" borderId="4" xfId="33" applyFont="1" applyFill="1" applyBorder="1" applyAlignment="1">
      <alignment horizontal="center" vertical="center" wrapText="1"/>
    </xf>
    <xf numFmtId="0" fontId="3" fillId="7" borderId="4" xfId="33" applyFill="1" applyBorder="1" applyAlignment="1">
      <alignment horizontal="center"/>
    </xf>
    <xf numFmtId="0" fontId="7" fillId="7" borderId="4" xfId="35" applyFont="1" applyFill="1" applyBorder="1" applyAlignment="1">
      <alignment horizontal="left" wrapText="1"/>
    </xf>
    <xf numFmtId="0" fontId="3" fillId="7" borderId="4" xfId="33" applyFill="1" applyBorder="1" applyAlignment="1">
      <alignment horizontal="left"/>
    </xf>
    <xf numFmtId="0" fontId="3" fillId="7" borderId="4" xfId="17" applyNumberFormat="1" applyFont="1" applyFill="1" applyBorder="1"/>
    <xf numFmtId="0" fontId="10" fillId="7" borderId="4" xfId="33" applyFont="1" applyFill="1" applyBorder="1"/>
    <xf numFmtId="14" fontId="3" fillId="7" borderId="4" xfId="33" applyNumberFormat="1" applyFill="1" applyBorder="1"/>
    <xf numFmtId="0" fontId="7" fillId="7" borderId="4" xfId="35" applyFont="1" applyFill="1" applyBorder="1"/>
    <xf numFmtId="0" fontId="3" fillId="7" borderId="4" xfId="31" applyNumberFormat="1" applyFill="1" applyBorder="1" applyAlignment="1"/>
    <xf numFmtId="0" fontId="3" fillId="7" borderId="4" xfId="33" quotePrefix="1" applyFill="1" applyBorder="1" applyAlignment="1">
      <alignment horizontal="left"/>
    </xf>
    <xf numFmtId="0" fontId="0" fillId="7" borderId="31" xfId="0" applyFill="1" applyBorder="1"/>
    <xf numFmtId="175" fontId="6" fillId="7" borderId="21" xfId="24" applyNumberFormat="1" applyFill="1" applyBorder="1"/>
    <xf numFmtId="0" fontId="0" fillId="7" borderId="21" xfId="0" applyFill="1" applyBorder="1"/>
    <xf numFmtId="0" fontId="0" fillId="7" borderId="21" xfId="0" applyFill="1" applyBorder="1" applyAlignment="1">
      <alignment horizontal="center"/>
    </xf>
    <xf numFmtId="0" fontId="0" fillId="7" borderId="26" xfId="0" applyFill="1" applyBorder="1"/>
    <xf numFmtId="175" fontId="6" fillId="7" borderId="4" xfId="24" applyNumberFormat="1" applyFill="1" applyBorder="1"/>
    <xf numFmtId="0" fontId="0" fillId="7" borderId="4" xfId="0" applyFill="1" applyBorder="1" applyAlignment="1">
      <alignment horizontal="center"/>
    </xf>
    <xf numFmtId="0" fontId="0" fillId="7" borderId="27" xfId="0" applyFill="1" applyBorder="1"/>
    <xf numFmtId="175" fontId="6" fillId="7" borderId="34" xfId="24" applyNumberFormat="1" applyFill="1" applyBorder="1"/>
    <xf numFmtId="0" fontId="0" fillId="7" borderId="34" xfId="0" applyFill="1" applyBorder="1"/>
    <xf numFmtId="0" fontId="0" fillId="7" borderId="34" xfId="0" applyFill="1" applyBorder="1" applyAlignment="1">
      <alignment horizontal="center"/>
    </xf>
    <xf numFmtId="0" fontId="0" fillId="9" borderId="31" xfId="0" applyFill="1" applyBorder="1"/>
    <xf numFmtId="9" fontId="6" fillId="9" borderId="21" xfId="41" applyFill="1" applyBorder="1" applyAlignment="1">
      <alignment horizontal="center"/>
    </xf>
    <xf numFmtId="9" fontId="6" fillId="9" borderId="22" xfId="41" applyFill="1" applyBorder="1" applyAlignment="1">
      <alignment horizontal="center"/>
    </xf>
    <xf numFmtId="0" fontId="0" fillId="9" borderId="26" xfId="0" applyFill="1" applyBorder="1"/>
    <xf numFmtId="9" fontId="6" fillId="9" borderId="4" xfId="41" applyFill="1" applyBorder="1" applyAlignment="1">
      <alignment horizontal="center"/>
    </xf>
    <xf numFmtId="9" fontId="6" fillId="9" borderId="11" xfId="41" applyFill="1" applyBorder="1" applyAlignment="1">
      <alignment horizontal="center"/>
    </xf>
    <xf numFmtId="0" fontId="0" fillId="9" borderId="27" xfId="0" applyFill="1" applyBorder="1"/>
    <xf numFmtId="9" fontId="6" fillId="9" borderId="34" xfId="41" applyFill="1" applyBorder="1" applyAlignment="1">
      <alignment horizontal="center"/>
    </xf>
    <xf numFmtId="9" fontId="6" fillId="9" borderId="35" xfId="41" applyFill="1" applyBorder="1" applyAlignment="1">
      <alignment horizontal="center"/>
    </xf>
    <xf numFmtId="0" fontId="0" fillId="8" borderId="31" xfId="0" applyFill="1" applyBorder="1" applyAlignment="1">
      <alignment horizontal="center"/>
    </xf>
    <xf numFmtId="9" fontId="6" fillId="8" borderId="22" xfId="41" applyFill="1" applyBorder="1" applyAlignment="1">
      <alignment horizontal="center"/>
    </xf>
    <xf numFmtId="0" fontId="0" fillId="8" borderId="26" xfId="0" applyFill="1" applyBorder="1" applyAlignment="1">
      <alignment horizontal="center"/>
    </xf>
    <xf numFmtId="9" fontId="6" fillId="8" borderId="11" xfId="41" applyFill="1" applyBorder="1" applyAlignment="1">
      <alignment horizontal="center"/>
    </xf>
    <xf numFmtId="0" fontId="0" fillId="8" borderId="27" xfId="0" applyFill="1" applyBorder="1" applyAlignment="1">
      <alignment horizontal="center"/>
    </xf>
    <xf numFmtId="9" fontId="6" fillId="8" borderId="35" xfId="41" applyFill="1" applyBorder="1" applyAlignment="1">
      <alignment horizontal="center"/>
    </xf>
    <xf numFmtId="0" fontId="0" fillId="11" borderId="31" xfId="0" applyFill="1" applyBorder="1"/>
    <xf numFmtId="9" fontId="6" fillId="11" borderId="22" xfId="41" applyFill="1" applyBorder="1" applyAlignment="1">
      <alignment horizontal="center"/>
    </xf>
    <xf numFmtId="0" fontId="0" fillId="11" borderId="26" xfId="0" applyFill="1" applyBorder="1"/>
    <xf numFmtId="9" fontId="6" fillId="11" borderId="11" xfId="41" applyFill="1" applyBorder="1" applyAlignment="1">
      <alignment horizontal="center"/>
    </xf>
    <xf numFmtId="0" fontId="0" fillId="11" borderId="27" xfId="0" applyFill="1" applyBorder="1"/>
    <xf numFmtId="9" fontId="6" fillId="11" borderId="35" xfId="41" applyFill="1" applyBorder="1" applyAlignment="1">
      <alignment horizontal="center"/>
    </xf>
    <xf numFmtId="0" fontId="0" fillId="12" borderId="31" xfId="0" applyFill="1" applyBorder="1"/>
    <xf numFmtId="9" fontId="6" fillId="12" borderId="22" xfId="41" applyFill="1" applyBorder="1" applyAlignment="1">
      <alignment horizontal="center"/>
    </xf>
    <xf numFmtId="0" fontId="0" fillId="12" borderId="26" xfId="0" applyFill="1" applyBorder="1"/>
    <xf numFmtId="9" fontId="6" fillId="12" borderId="11" xfId="41" applyFill="1" applyBorder="1" applyAlignment="1">
      <alignment horizontal="center"/>
    </xf>
    <xf numFmtId="0" fontId="0" fillId="12" borderId="27" xfId="0" applyFill="1" applyBorder="1"/>
    <xf numFmtId="9" fontId="6" fillId="12" borderId="35" xfId="41" applyFill="1" applyBorder="1" applyAlignment="1">
      <alignment horizontal="center"/>
    </xf>
    <xf numFmtId="0" fontId="3" fillId="0" borderId="4" xfId="33" applyBorder="1"/>
    <xf numFmtId="0" fontId="18" fillId="2" borderId="0" xfId="0" applyFont="1" applyFill="1" applyAlignment="1">
      <alignment horizontal="center"/>
    </xf>
  </cellXfs>
  <cellStyles count="45">
    <cellStyle name="Calc Currency (0)" xfId="1" xr:uid="{B7BECE9A-75C6-4CF1-87AD-7DD73B66B89C}"/>
    <cellStyle name="Calc Percent (0)" xfId="2" xr:uid="{0B1CB592-2731-4B5D-BFBC-0EEE2D2E4465}"/>
    <cellStyle name="Calc Percent (1)" xfId="3" xr:uid="{FA167C70-F670-4792-8991-C8332F69D2E2}"/>
    <cellStyle name="Comma [0]" xfId="4" xr:uid="{76F033EB-E29F-4ECC-B312-06C9FEF39518}"/>
    <cellStyle name="Currency [0]" xfId="5" xr:uid="{DEF4A5A3-159A-4C7A-991B-2A1E4FC7727C}"/>
    <cellStyle name="Date" xfId="6" xr:uid="{27D3F436-D985-4B1A-B0A2-B84F22A605F1}"/>
    <cellStyle name="Enter Currency (0)" xfId="7" xr:uid="{3A20D6F2-FCFC-491D-B702-13231BE1BE00}"/>
    <cellStyle name="Euro" xfId="8" xr:uid="{5B94F7D2-0040-41E7-8C02-4E42173D3BEE}"/>
    <cellStyle name="Euro_Prueba Excel Intermedio Santander" xfId="9" xr:uid="{78F38359-AA5A-4C21-B4B4-9D2427C505B0}"/>
    <cellStyle name="Fecha" xfId="10" xr:uid="{86F6EB97-7B43-4982-B097-65C4FFE2EDA2}"/>
    <cellStyle name="Grey" xfId="11" xr:uid="{5F9AD627-F17E-454D-80BE-134175D04C43}"/>
    <cellStyle name="Header1" xfId="12" xr:uid="{C93D37C1-1B62-4842-AA9B-45453E51C94A}"/>
    <cellStyle name="Header2" xfId="13" xr:uid="{A294EF3B-EFA4-4E82-B680-F8EAE855E340}"/>
    <cellStyle name="Heading" xfId="14" xr:uid="{2F0D717C-82A9-46E4-B8B5-2282005FF5A6}"/>
    <cellStyle name="Input [yellow]" xfId="15" xr:uid="{F772F650-6377-4FDF-AB4F-DDD02AECFAFA}"/>
    <cellStyle name="Link Currency (0)" xfId="16" xr:uid="{7C3EF0C7-CB98-4058-B736-50539310861C}"/>
    <cellStyle name="Millares" xfId="17" builtinId="3"/>
    <cellStyle name="Millares [0] 5" xfId="18" xr:uid="{E1A7CD43-C23A-40E8-ADAF-E3BC993310A6}"/>
    <cellStyle name="Millares [0]_Ejercicios buscarv " xfId="19" xr:uid="{2B67A0F8-D7FE-4207-AE34-741DAD42398E}"/>
    <cellStyle name="Millares 2" xfId="20" xr:uid="{205CD8BC-9484-4F69-971D-E9DBCED1ABB2}"/>
    <cellStyle name="Millares 3" xfId="21" xr:uid="{4A5FF148-AD84-411D-9AD9-95346510E6C9}"/>
    <cellStyle name="Millares 4" xfId="22" xr:uid="{ED54147B-0BAC-4130-995F-6E1B2E0B6C1A}"/>
    <cellStyle name="Millares_ejercicios" xfId="23" xr:uid="{3D39E360-7C5E-4586-ADB6-17D234110016}"/>
    <cellStyle name="Millares_Ejercicios buscarv " xfId="24" xr:uid="{D950F121-B768-428D-8887-27E3541E8A15}"/>
    <cellStyle name="Moneda [0] 9" xfId="25" xr:uid="{2F9AB7DF-EABA-4AF3-B4ED-A91C1568C26B}"/>
    <cellStyle name="Moneda [0]_Ejercicios buscarv " xfId="26" xr:uid="{FDF3F478-BD9E-414E-B6B1-C9298F9D5CDE}"/>
    <cellStyle name="Moneda [0]_Prueba Excel Intermedio Santander" xfId="27" xr:uid="{3D436CA6-B84B-4B67-B793-68F4749906F3}"/>
    <cellStyle name="Moneda 2" xfId="28" xr:uid="{38F3C911-17A1-4A38-9701-075386B3AD24}"/>
    <cellStyle name="Moneda 3" xfId="29" xr:uid="{A2660342-4AC4-49F6-B886-411673B09643}"/>
    <cellStyle name="Moneda_Ejercicios buscarv 2" xfId="30" xr:uid="{FA49DC6C-4423-4988-A402-A48382BACA43}"/>
    <cellStyle name="Moneda_prueba final MOP" xfId="31" xr:uid="{23E3F44E-7FFF-4209-B92B-4F443CB83F40}"/>
    <cellStyle name="Normal" xfId="0" builtinId="0"/>
    <cellStyle name="Normal - Style1" xfId="32" xr:uid="{A8D1287C-2843-4164-BEC5-F4154518A22E}"/>
    <cellStyle name="Normal 2" xfId="33" xr:uid="{7BD59989-1D84-4A98-8486-D30D11D12E98}"/>
    <cellStyle name="Normal 2 2" xfId="34" xr:uid="{5CF2993E-5519-4D24-BE18-357A08C316ED}"/>
    <cellStyle name="Normal_Ejer3 2" xfId="35" xr:uid="{E9DFE92D-4E31-4252-8AC2-BD28A14A9974}"/>
    <cellStyle name="Normal_Ejercicios buscarv 2" xfId="36" xr:uid="{99EA50D1-848E-437A-ADB8-F713DD79CB71}"/>
    <cellStyle name="Normal_T_din" xfId="37" xr:uid="{9FB054E9-D7BB-452E-89F2-A6ED038EE4E3}"/>
    <cellStyle name="Percent [2]" xfId="38" xr:uid="{B106A459-ECBB-4542-8463-248F67CD8B9A}"/>
    <cellStyle name="Porcentaje" xfId="39" builtinId="5"/>
    <cellStyle name="Porcentual 2" xfId="40" xr:uid="{290D4545-9219-4E44-8502-A8B42845773C}"/>
    <cellStyle name="Porcentual_Ejercicios buscarv " xfId="41" xr:uid="{B258FB10-8781-4346-8627-D1A603C92EB0}"/>
    <cellStyle name="PrePop Currency (0)" xfId="42" xr:uid="{575769CA-507E-4D99-A151-D88E82CAB0F8}"/>
    <cellStyle name="Text Indent A" xfId="43" xr:uid="{4A0F41A3-44B9-4EA2-8A7B-D514AB9547D9}"/>
    <cellStyle name="Text Indent B" xfId="44" xr:uid="{E28929B2-0254-4FAB-AA63-45F9E9711EB4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200025</xdr:colOff>
      <xdr:row>17</xdr:row>
      <xdr:rowOff>9525</xdr:rowOff>
    </xdr:from>
    <xdr:to>
      <xdr:col>2</xdr:col>
      <xdr:colOff>733425</xdr:colOff>
      <xdr:row>25</xdr:row>
      <xdr:rowOff>47625</xdr:rowOff>
    </xdr:to>
    <xdr:sp macro="" textlink="">
      <xdr:nvSpPr>
        <xdr:cNvPr id="3124" name="Line 1">
          <a:extLst>
            <a:ext uri="{FF2B5EF4-FFF2-40B4-BE49-F238E27FC236}">
              <a16:creationId xmlns:a16="http://schemas.microsoft.com/office/drawing/2014/main" id="{1D5CA2C6-13F0-9D52-1E49-3135AA145D83}"/>
            </a:ext>
          </a:extLst>
        </xdr:cNvPr>
        <xdr:cNvSpPr>
          <a:spLocks noChangeShapeType="1"/>
        </xdr:cNvSpPr>
      </xdr:nvSpPr>
      <xdr:spPr bwMode="auto">
        <a:xfrm flipV="1">
          <a:off x="352425" y="2771775"/>
          <a:ext cx="923925" cy="13430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200025</xdr:colOff>
      <xdr:row>25</xdr:row>
      <xdr:rowOff>47625</xdr:rowOff>
    </xdr:from>
    <xdr:to>
      <xdr:col>1</xdr:col>
      <xdr:colOff>390525</xdr:colOff>
      <xdr:row>25</xdr:row>
      <xdr:rowOff>47625</xdr:rowOff>
    </xdr:to>
    <xdr:sp macro="" textlink="">
      <xdr:nvSpPr>
        <xdr:cNvPr id="3125" name="Line 2">
          <a:extLst>
            <a:ext uri="{FF2B5EF4-FFF2-40B4-BE49-F238E27FC236}">
              <a16:creationId xmlns:a16="http://schemas.microsoft.com/office/drawing/2014/main" id="{2B17A2AF-85F0-2C46-A3C0-D7B08C326A25}"/>
            </a:ext>
          </a:extLst>
        </xdr:cNvPr>
        <xdr:cNvSpPr>
          <a:spLocks noChangeShapeType="1"/>
        </xdr:cNvSpPr>
      </xdr:nvSpPr>
      <xdr:spPr bwMode="auto">
        <a:xfrm>
          <a:off x="352425" y="4114800"/>
          <a:ext cx="1905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Comun\Profesores\FFarias\Fffffff\23fa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WINDOWS/Archivos%20temporales%20de%20Internet/Content.IE5/Z5G4BSFY/Pregntas%20para%20Pruebas/De%20todo%20un%20poc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permercados"/>
      <sheetName val="Hoja1"/>
      <sheetName val="facturas"/>
      <sheetName val="Hoja2"/>
      <sheetName val="Hoja9"/>
      <sheetName val="vend"/>
      <sheetName val="vendedores"/>
      <sheetName val="catastrofes"/>
      <sheetName val="banco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2"/>
    </sheetNames>
    <sheetDataSet>
      <sheetData sheetId="0">
        <row r="5">
          <cell r="F5">
            <v>52</v>
          </cell>
          <cell r="G5">
            <v>500</v>
          </cell>
          <cell r="H5">
            <v>0.1067</v>
          </cell>
        </row>
        <row r="6">
          <cell r="F6">
            <v>22</v>
          </cell>
          <cell r="G6">
            <v>650</v>
          </cell>
          <cell r="H6">
            <v>2.2229999999999999</v>
          </cell>
        </row>
        <row r="7">
          <cell r="F7">
            <v>10</v>
          </cell>
          <cell r="G7">
            <v>250</v>
          </cell>
          <cell r="H7">
            <v>1.123</v>
          </cell>
        </row>
        <row r="8">
          <cell r="F8">
            <v>15</v>
          </cell>
          <cell r="G8">
            <v>1200</v>
          </cell>
          <cell r="H8">
            <v>1.123</v>
          </cell>
        </row>
        <row r="9">
          <cell r="F9">
            <v>23</v>
          </cell>
          <cell r="G9">
            <v>1200</v>
          </cell>
          <cell r="H9">
            <v>0.12543000000000001</v>
          </cell>
        </row>
        <row r="10">
          <cell r="F10">
            <v>13</v>
          </cell>
          <cell r="G10">
            <v>1300</v>
          </cell>
          <cell r="H10">
            <v>0.12665000000000001</v>
          </cell>
        </row>
        <row r="11">
          <cell r="F11">
            <v>15</v>
          </cell>
          <cell r="G11">
            <v>4800</v>
          </cell>
          <cell r="H11">
            <v>0.56667800000000002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A0AAB-17A1-40C2-B4ED-A2228FEF3989}">
  <sheetPr>
    <tabColor indexed="22"/>
  </sheetPr>
  <dimension ref="B2:C10"/>
  <sheetViews>
    <sheetView showGridLines="0" workbookViewId="0">
      <selection activeCell="A2" sqref="A2:D5"/>
    </sheetView>
  </sheetViews>
  <sheetFormatPr baseColWidth="10" defaultRowHeight="12.75"/>
  <cols>
    <col min="1" max="1" width="11.42578125" style="12"/>
    <col min="2" max="2" width="24" style="12" bestFit="1" customWidth="1"/>
    <col min="3" max="3" width="17.28515625" style="12" customWidth="1"/>
    <col min="4" max="4" width="11.42578125" style="12"/>
    <col min="5" max="5" width="12.28515625" style="12" bestFit="1" customWidth="1"/>
    <col min="6" max="16384" width="11.42578125" style="12"/>
  </cols>
  <sheetData>
    <row r="2" spans="2:3">
      <c r="B2" s="131" t="s">
        <v>552</v>
      </c>
      <c r="C2" s="131" t="s">
        <v>551</v>
      </c>
    </row>
    <row r="3" spans="2:3">
      <c r="B3" s="45">
        <v>1</v>
      </c>
      <c r="C3" s="45" t="s">
        <v>328</v>
      </c>
    </row>
    <row r="4" spans="2:3">
      <c r="B4" s="45">
        <v>2</v>
      </c>
      <c r="C4" s="45" t="s">
        <v>327</v>
      </c>
    </row>
    <row r="5" spans="2:3">
      <c r="B5" s="45">
        <v>3</v>
      </c>
      <c r="C5" s="45" t="s">
        <v>326</v>
      </c>
    </row>
    <row r="6" spans="2:3">
      <c r="B6" s="45">
        <v>4</v>
      </c>
      <c r="C6" s="45" t="s">
        <v>325</v>
      </c>
    </row>
    <row r="7" spans="2:3">
      <c r="B7" s="45">
        <v>5</v>
      </c>
      <c r="C7" s="45" t="s">
        <v>324</v>
      </c>
    </row>
    <row r="8" spans="2:3">
      <c r="B8" s="45">
        <v>6</v>
      </c>
      <c r="C8" s="45" t="s">
        <v>323</v>
      </c>
    </row>
    <row r="9" spans="2:3">
      <c r="B9" s="45">
        <v>7</v>
      </c>
      <c r="C9" s="45" t="s">
        <v>322</v>
      </c>
    </row>
    <row r="10" spans="2:3">
      <c r="B10" s="45">
        <v>8</v>
      </c>
      <c r="C10" s="45" t="s">
        <v>321</v>
      </c>
    </row>
  </sheetData>
  <pageMargins left="0.75" right="0.75" top="1" bottom="1" header="0" footer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48D3C-0599-4DC0-872B-792FA6A340E2}">
  <sheetPr>
    <tabColor indexed="22"/>
  </sheetPr>
  <dimension ref="A2:D11"/>
  <sheetViews>
    <sheetView showGridLines="0" workbookViewId="0">
      <selection activeCell="D18" sqref="A13:D18"/>
    </sheetView>
  </sheetViews>
  <sheetFormatPr baseColWidth="10" defaultRowHeight="12.75"/>
  <cols>
    <col min="1" max="1" width="21.85546875" style="12" customWidth="1"/>
    <col min="2" max="2" width="10.7109375" style="12" bestFit="1" customWidth="1"/>
    <col min="3" max="3" width="14.42578125" style="12" bestFit="1" customWidth="1"/>
    <col min="4" max="16384" width="11.42578125" style="12"/>
  </cols>
  <sheetData>
    <row r="2" spans="1:4">
      <c r="A2" s="46" t="s">
        <v>64</v>
      </c>
      <c r="B2" s="46" t="s">
        <v>78</v>
      </c>
      <c r="C2" s="46" t="s">
        <v>63</v>
      </c>
      <c r="D2" s="46" t="s">
        <v>62</v>
      </c>
    </row>
    <row r="3" spans="1:4">
      <c r="A3" s="47" t="s">
        <v>77</v>
      </c>
      <c r="B3" s="48" t="s">
        <v>69</v>
      </c>
      <c r="C3" s="49">
        <v>450000</v>
      </c>
      <c r="D3" s="48" t="s">
        <v>70</v>
      </c>
    </row>
    <row r="4" spans="1:4">
      <c r="A4" s="47" t="s">
        <v>76</v>
      </c>
      <c r="B4" s="48" t="s">
        <v>57</v>
      </c>
      <c r="C4" s="49">
        <v>991000</v>
      </c>
      <c r="D4" s="48" t="s">
        <v>68</v>
      </c>
    </row>
    <row r="5" spans="1:4">
      <c r="A5" s="47" t="s">
        <v>75</v>
      </c>
      <c r="B5" s="48" t="s">
        <v>57</v>
      </c>
      <c r="C5" s="49">
        <v>1532000</v>
      </c>
      <c r="D5" s="48" t="s">
        <v>70</v>
      </c>
    </row>
    <row r="6" spans="1:4">
      <c r="A6" s="47" t="s">
        <v>74</v>
      </c>
      <c r="B6" s="48" t="s">
        <v>57</v>
      </c>
      <c r="C6" s="49">
        <v>2073000</v>
      </c>
      <c r="D6" s="48" t="s">
        <v>70</v>
      </c>
    </row>
    <row r="7" spans="1:4">
      <c r="A7" s="47" t="s">
        <v>73</v>
      </c>
      <c r="B7" s="48" t="s">
        <v>69</v>
      </c>
      <c r="C7" s="49">
        <v>2614000</v>
      </c>
      <c r="D7" s="48" t="s">
        <v>68</v>
      </c>
    </row>
    <row r="8" spans="1:4">
      <c r="A8" s="50" t="s">
        <v>72</v>
      </c>
      <c r="B8" s="48" t="s">
        <v>69</v>
      </c>
      <c r="C8" s="49">
        <v>3155000</v>
      </c>
      <c r="D8" s="48" t="s">
        <v>70</v>
      </c>
    </row>
    <row r="9" spans="1:4">
      <c r="A9" s="47" t="s">
        <v>71</v>
      </c>
      <c r="B9" s="48" t="s">
        <v>57</v>
      </c>
      <c r="C9" s="49">
        <v>3696000</v>
      </c>
      <c r="D9" s="48" t="s">
        <v>70</v>
      </c>
    </row>
    <row r="10" spans="1:4">
      <c r="A10" s="47" t="s">
        <v>61</v>
      </c>
      <c r="B10" s="48" t="s">
        <v>69</v>
      </c>
      <c r="C10" s="49">
        <v>4237000</v>
      </c>
      <c r="D10" s="48" t="s">
        <v>68</v>
      </c>
    </row>
    <row r="11" spans="1:4">
      <c r="A11" s="47" t="s">
        <v>67</v>
      </c>
      <c r="B11" s="48" t="s">
        <v>66</v>
      </c>
      <c r="C11" s="49">
        <v>560000</v>
      </c>
      <c r="D11" s="48" t="s">
        <v>65</v>
      </c>
    </row>
  </sheetData>
  <pageMargins left="0.75" right="0.75" top="1" bottom="1" header="0" footer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5A178-6E84-4542-AC05-0B1D1D38CA45}">
  <sheetPr>
    <tabColor indexed="22"/>
  </sheetPr>
  <dimension ref="A4:H18"/>
  <sheetViews>
    <sheetView showGridLines="0" topLeftCell="A3" workbookViewId="0">
      <selection activeCell="D26" sqref="A19:D26"/>
    </sheetView>
  </sheetViews>
  <sheetFormatPr baseColWidth="10" defaultRowHeight="12.75"/>
  <cols>
    <col min="1" max="1" width="14.42578125" style="12" bestFit="1" customWidth="1"/>
    <col min="2" max="2" width="17" style="12" customWidth="1"/>
    <col min="3" max="3" width="16.5703125" style="12" customWidth="1"/>
    <col min="4" max="4" width="11.140625" style="12" bestFit="1" customWidth="1"/>
    <col min="5" max="5" width="5.85546875" style="12" customWidth="1"/>
    <col min="6" max="6" width="4.28515625" style="12" customWidth="1"/>
    <col min="7" max="7" width="14.42578125" style="12" bestFit="1" customWidth="1"/>
    <col min="8" max="8" width="20.5703125" style="12" bestFit="1" customWidth="1"/>
    <col min="9" max="16384" width="11.42578125" style="12"/>
  </cols>
  <sheetData>
    <row r="4" spans="1:8">
      <c r="A4" s="51" t="s">
        <v>83</v>
      </c>
      <c r="B4" s="51" t="s">
        <v>62</v>
      </c>
      <c r="C4" s="51" t="s">
        <v>100</v>
      </c>
      <c r="D4" s="51" t="s">
        <v>82</v>
      </c>
      <c r="G4" s="51" t="s">
        <v>83</v>
      </c>
      <c r="H4" s="51" t="s">
        <v>99</v>
      </c>
    </row>
    <row r="5" spans="1:8">
      <c r="A5" s="47" t="s">
        <v>81</v>
      </c>
      <c r="B5" s="47" t="s">
        <v>88</v>
      </c>
      <c r="C5" s="47">
        <v>50</v>
      </c>
      <c r="D5" s="47">
        <v>25</v>
      </c>
      <c r="G5" s="47" t="s">
        <v>81</v>
      </c>
      <c r="H5" s="52">
        <v>300000</v>
      </c>
    </row>
    <row r="6" spans="1:8">
      <c r="A6" s="47" t="s">
        <v>89</v>
      </c>
      <c r="B6" s="47" t="s">
        <v>85</v>
      </c>
      <c r="C6" s="47">
        <v>30</v>
      </c>
      <c r="D6" s="47">
        <v>9</v>
      </c>
      <c r="G6" s="47" t="s">
        <v>89</v>
      </c>
      <c r="H6" s="52">
        <v>1200000</v>
      </c>
    </row>
    <row r="7" spans="1:8">
      <c r="A7" s="47" t="s">
        <v>86</v>
      </c>
      <c r="B7" s="47" t="s">
        <v>94</v>
      </c>
      <c r="C7" s="47">
        <v>50</v>
      </c>
      <c r="D7" s="47">
        <v>25</v>
      </c>
      <c r="G7" s="47" t="s">
        <v>86</v>
      </c>
      <c r="H7" s="52">
        <v>1350000</v>
      </c>
    </row>
    <row r="8" spans="1:8">
      <c r="A8" s="47" t="s">
        <v>98</v>
      </c>
      <c r="B8" s="47" t="s">
        <v>65</v>
      </c>
      <c r="C8" s="47">
        <v>25</v>
      </c>
      <c r="D8" s="47">
        <v>20</v>
      </c>
      <c r="G8" s="47" t="s">
        <v>98</v>
      </c>
      <c r="H8" s="52">
        <v>450000</v>
      </c>
    </row>
    <row r="9" spans="1:8">
      <c r="A9" s="47" t="s">
        <v>80</v>
      </c>
      <c r="B9" s="47" t="s">
        <v>92</v>
      </c>
      <c r="C9" s="47">
        <v>40</v>
      </c>
      <c r="D9" s="47">
        <v>10</v>
      </c>
      <c r="G9" s="47" t="s">
        <v>80</v>
      </c>
      <c r="H9" s="52">
        <v>450000</v>
      </c>
    </row>
    <row r="10" spans="1:8">
      <c r="A10" s="47" t="s">
        <v>97</v>
      </c>
      <c r="B10" s="47" t="s">
        <v>65</v>
      </c>
      <c r="C10" s="47">
        <v>45</v>
      </c>
      <c r="D10" s="47">
        <v>20</v>
      </c>
      <c r="G10" s="47" t="s">
        <v>97</v>
      </c>
      <c r="H10" s="52">
        <v>90000</v>
      </c>
    </row>
    <row r="11" spans="1:8">
      <c r="A11" s="47" t="s">
        <v>96</v>
      </c>
      <c r="B11" s="47" t="s">
        <v>88</v>
      </c>
      <c r="C11" s="47">
        <v>25</v>
      </c>
      <c r="D11" s="47">
        <v>22</v>
      </c>
      <c r="G11" s="47" t="s">
        <v>96</v>
      </c>
      <c r="H11" s="52">
        <v>450000</v>
      </c>
    </row>
    <row r="12" spans="1:8">
      <c r="A12" s="47" t="s">
        <v>95</v>
      </c>
      <c r="B12" s="47" t="s">
        <v>85</v>
      </c>
      <c r="C12" s="47">
        <v>25</v>
      </c>
      <c r="D12" s="47">
        <v>23</v>
      </c>
      <c r="G12" s="47" t="s">
        <v>95</v>
      </c>
      <c r="H12" s="52">
        <v>600000</v>
      </c>
    </row>
    <row r="13" spans="1:8">
      <c r="A13" s="47" t="s">
        <v>93</v>
      </c>
      <c r="B13" s="47" t="s">
        <v>94</v>
      </c>
      <c r="C13" s="47">
        <v>35</v>
      </c>
      <c r="D13" s="47">
        <v>25</v>
      </c>
      <c r="G13" s="47" t="s">
        <v>93</v>
      </c>
      <c r="H13" s="52">
        <v>250000</v>
      </c>
    </row>
    <row r="14" spans="1:8">
      <c r="A14" s="47" t="s">
        <v>79</v>
      </c>
      <c r="B14" s="47" t="s">
        <v>65</v>
      </c>
      <c r="C14" s="47">
        <v>32</v>
      </c>
      <c r="D14" s="47">
        <v>24</v>
      </c>
      <c r="G14" s="47" t="s">
        <v>79</v>
      </c>
      <c r="H14" s="52">
        <v>1050000</v>
      </c>
    </row>
    <row r="15" spans="1:8">
      <c r="A15" s="47" t="s">
        <v>91</v>
      </c>
      <c r="B15" s="47" t="s">
        <v>92</v>
      </c>
      <c r="C15" s="47">
        <v>12</v>
      </c>
      <c r="D15" s="47">
        <v>36</v>
      </c>
      <c r="G15" s="47" t="s">
        <v>91</v>
      </c>
      <c r="H15" s="52">
        <v>900000</v>
      </c>
    </row>
    <row r="16" spans="1:8">
      <c r="A16" s="47" t="s">
        <v>90</v>
      </c>
      <c r="B16" s="47" t="s">
        <v>65</v>
      </c>
      <c r="C16" s="47">
        <v>14</v>
      </c>
      <c r="D16" s="47">
        <v>24</v>
      </c>
      <c r="G16" s="47" t="s">
        <v>90</v>
      </c>
      <c r="H16" s="52">
        <v>380000</v>
      </c>
    </row>
    <row r="17" spans="1:8">
      <c r="A17" s="47" t="s">
        <v>87</v>
      </c>
      <c r="B17" s="47" t="s">
        <v>88</v>
      </c>
      <c r="C17" s="47">
        <v>25</v>
      </c>
      <c r="D17" s="47">
        <v>52</v>
      </c>
      <c r="G17" s="47" t="s">
        <v>87</v>
      </c>
      <c r="H17" s="52">
        <v>150000</v>
      </c>
    </row>
    <row r="18" spans="1:8">
      <c r="A18" s="47" t="s">
        <v>84</v>
      </c>
      <c r="B18" s="47" t="s">
        <v>85</v>
      </c>
      <c r="C18" s="47">
        <v>12</v>
      </c>
      <c r="D18" s="47">
        <v>21</v>
      </c>
      <c r="G18" s="47" t="s">
        <v>84</v>
      </c>
      <c r="H18" s="52">
        <v>750000</v>
      </c>
    </row>
  </sheetData>
  <pageMargins left="0.75" right="0.75" top="1" bottom="1" header="0" footer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3F371-8DE1-48E5-B68C-D10C1ECC0A72}">
  <dimension ref="A2:H23"/>
  <sheetViews>
    <sheetView showGridLines="0" workbookViewId="0">
      <selection activeCell="B17" sqref="B17"/>
    </sheetView>
  </sheetViews>
  <sheetFormatPr baseColWidth="10" defaultRowHeight="12.75"/>
  <cols>
    <col min="1" max="1" width="13.140625" style="14" customWidth="1"/>
    <col min="2" max="2" width="21.42578125" style="12" customWidth="1"/>
    <col min="3" max="3" width="9.7109375" style="12" bestFit="1" customWidth="1"/>
    <col min="4" max="4" width="12.5703125" style="12" bestFit="1" customWidth="1"/>
    <col min="5" max="5" width="11.85546875" style="12" bestFit="1" customWidth="1"/>
    <col min="6" max="6" width="15.7109375" style="12" customWidth="1"/>
    <col min="7" max="7" width="11.5703125" style="12" bestFit="1" customWidth="1"/>
    <col min="8" max="8" width="10.7109375" style="14" bestFit="1" customWidth="1"/>
    <col min="9" max="16384" width="11.42578125" style="12"/>
  </cols>
  <sheetData>
    <row r="2" spans="1:8" s="13" customFormat="1">
      <c r="A2" s="46" t="s">
        <v>106</v>
      </c>
      <c r="B2" s="46" t="s">
        <v>59</v>
      </c>
      <c r="C2" s="46" t="s">
        <v>105</v>
      </c>
      <c r="D2" s="46" t="s">
        <v>140</v>
      </c>
      <c r="E2" s="53" t="s">
        <v>139</v>
      </c>
      <c r="F2" s="46" t="s">
        <v>138</v>
      </c>
      <c r="G2" s="46" t="s">
        <v>137</v>
      </c>
      <c r="H2" s="46" t="s">
        <v>136</v>
      </c>
    </row>
    <row r="3" spans="1:8">
      <c r="A3" s="54">
        <v>1012</v>
      </c>
      <c r="B3" s="55" t="s">
        <v>135</v>
      </c>
      <c r="C3" s="55" t="s">
        <v>112</v>
      </c>
      <c r="D3" s="55" t="s">
        <v>134</v>
      </c>
      <c r="E3" s="55">
        <v>3</v>
      </c>
      <c r="F3" s="55" t="s">
        <v>114</v>
      </c>
      <c r="G3" s="55" t="s">
        <v>111</v>
      </c>
      <c r="H3" s="54">
        <v>2</v>
      </c>
    </row>
    <row r="4" spans="1:8">
      <c r="A4" s="54">
        <v>1013</v>
      </c>
      <c r="B4" s="55" t="s">
        <v>133</v>
      </c>
      <c r="C4" s="55" t="s">
        <v>112</v>
      </c>
      <c r="D4" s="55" t="s">
        <v>27</v>
      </c>
      <c r="E4" s="55">
        <v>4</v>
      </c>
      <c r="F4" s="55" t="s">
        <v>117</v>
      </c>
      <c r="G4" s="55" t="s">
        <v>107</v>
      </c>
      <c r="H4" s="54">
        <v>3</v>
      </c>
    </row>
    <row r="5" spans="1:8">
      <c r="A5" s="54">
        <v>1025</v>
      </c>
      <c r="B5" s="55" t="s">
        <v>118</v>
      </c>
      <c r="C5" s="55" t="s">
        <v>112</v>
      </c>
      <c r="D5" s="55" t="s">
        <v>27</v>
      </c>
      <c r="E5" s="55">
        <v>4</v>
      </c>
      <c r="F5" s="55" t="s">
        <v>108</v>
      </c>
      <c r="G5" s="55" t="s">
        <v>119</v>
      </c>
      <c r="H5" s="54">
        <v>2</v>
      </c>
    </row>
    <row r="6" spans="1:8">
      <c r="A6" s="54">
        <v>1021</v>
      </c>
      <c r="B6" s="55" t="s">
        <v>132</v>
      </c>
      <c r="C6" s="55" t="s">
        <v>112</v>
      </c>
      <c r="D6" s="55" t="s">
        <v>131</v>
      </c>
      <c r="E6" s="55">
        <v>3</v>
      </c>
      <c r="F6" s="55" t="s">
        <v>114</v>
      </c>
      <c r="G6" s="55" t="s">
        <v>119</v>
      </c>
      <c r="H6" s="54">
        <v>0</v>
      </c>
    </row>
    <row r="7" spans="1:8">
      <c r="A7" s="54">
        <v>1018</v>
      </c>
      <c r="B7" s="55" t="s">
        <v>130</v>
      </c>
      <c r="C7" s="55" t="s">
        <v>112</v>
      </c>
      <c r="D7" s="55" t="s">
        <v>128</v>
      </c>
      <c r="E7" s="55">
        <v>3</v>
      </c>
      <c r="F7" s="55" t="s">
        <v>117</v>
      </c>
      <c r="G7" s="55" t="s">
        <v>111</v>
      </c>
      <c r="H7" s="54">
        <v>0</v>
      </c>
    </row>
    <row r="8" spans="1:8">
      <c r="A8" s="54">
        <v>1020</v>
      </c>
      <c r="B8" s="55" t="s">
        <v>129</v>
      </c>
      <c r="C8" s="55" t="s">
        <v>112</v>
      </c>
      <c r="D8" s="55" t="s">
        <v>128</v>
      </c>
      <c r="E8" s="55">
        <v>5</v>
      </c>
      <c r="F8" s="55" t="s">
        <v>114</v>
      </c>
      <c r="G8" s="55" t="s">
        <v>107</v>
      </c>
      <c r="H8" s="54">
        <v>3</v>
      </c>
    </row>
    <row r="9" spans="1:8">
      <c r="A9" s="54">
        <v>1023</v>
      </c>
      <c r="B9" s="55" t="s">
        <v>127</v>
      </c>
      <c r="C9" s="55" t="s">
        <v>109</v>
      </c>
      <c r="D9" s="55" t="s">
        <v>125</v>
      </c>
      <c r="E9" s="55">
        <v>5</v>
      </c>
      <c r="F9" s="55" t="s">
        <v>114</v>
      </c>
      <c r="G9" s="55" t="s">
        <v>119</v>
      </c>
      <c r="H9" s="54">
        <v>2</v>
      </c>
    </row>
    <row r="10" spans="1:8">
      <c r="A10" s="54">
        <v>1024</v>
      </c>
      <c r="B10" s="55" t="s">
        <v>126</v>
      </c>
      <c r="C10" s="55" t="s">
        <v>109</v>
      </c>
      <c r="D10" s="55" t="s">
        <v>125</v>
      </c>
      <c r="E10" s="55">
        <v>3</v>
      </c>
      <c r="F10" s="55" t="s">
        <v>114</v>
      </c>
      <c r="G10" s="55" t="s">
        <v>111</v>
      </c>
      <c r="H10" s="54">
        <v>1</v>
      </c>
    </row>
    <row r="11" spans="1:8">
      <c r="A11" s="54">
        <v>1027</v>
      </c>
      <c r="B11" s="55" t="s">
        <v>124</v>
      </c>
      <c r="C11" s="55" t="s">
        <v>112</v>
      </c>
      <c r="D11" s="55" t="s">
        <v>123</v>
      </c>
      <c r="E11" s="55">
        <v>3</v>
      </c>
      <c r="F11" s="55" t="s">
        <v>108</v>
      </c>
      <c r="G11" s="55" t="s">
        <v>119</v>
      </c>
      <c r="H11" s="54">
        <v>1</v>
      </c>
    </row>
    <row r="12" spans="1:8">
      <c r="A12" s="54">
        <v>1022</v>
      </c>
      <c r="B12" s="55" t="s">
        <v>122</v>
      </c>
      <c r="C12" s="55" t="s">
        <v>109</v>
      </c>
      <c r="D12" s="55" t="s">
        <v>15</v>
      </c>
      <c r="E12" s="55">
        <v>4</v>
      </c>
      <c r="F12" s="55" t="s">
        <v>108</v>
      </c>
      <c r="G12" s="55" t="s">
        <v>119</v>
      </c>
      <c r="H12" s="54">
        <v>3</v>
      </c>
    </row>
    <row r="13" spans="1:8">
      <c r="A13" s="54">
        <v>1026</v>
      </c>
      <c r="B13" s="55" t="s">
        <v>121</v>
      </c>
      <c r="C13" s="55" t="s">
        <v>112</v>
      </c>
      <c r="D13" s="55" t="s">
        <v>15</v>
      </c>
      <c r="E13" s="55">
        <v>5</v>
      </c>
      <c r="F13" s="55" t="s">
        <v>320</v>
      </c>
      <c r="G13" s="55" t="s">
        <v>111</v>
      </c>
      <c r="H13" s="54">
        <v>3</v>
      </c>
    </row>
    <row r="14" spans="1:8">
      <c r="A14" s="54">
        <v>1015</v>
      </c>
      <c r="B14" s="55" t="s">
        <v>120</v>
      </c>
      <c r="C14" s="55" t="s">
        <v>112</v>
      </c>
      <c r="D14" s="55" t="s">
        <v>115</v>
      </c>
      <c r="E14" s="55">
        <v>3</v>
      </c>
      <c r="F14" s="55" t="s">
        <v>117</v>
      </c>
      <c r="G14" s="55" t="s">
        <v>119</v>
      </c>
      <c r="H14" s="54">
        <v>5</v>
      </c>
    </row>
    <row r="15" spans="1:8">
      <c r="A15" s="54">
        <v>1016</v>
      </c>
      <c r="B15" s="55" t="s">
        <v>118</v>
      </c>
      <c r="C15" s="55" t="s">
        <v>109</v>
      </c>
      <c r="D15" s="55" t="s">
        <v>115</v>
      </c>
      <c r="E15" s="55">
        <v>4</v>
      </c>
      <c r="F15" s="55" t="s">
        <v>117</v>
      </c>
      <c r="G15" s="55" t="s">
        <v>111</v>
      </c>
      <c r="H15" s="54">
        <v>1</v>
      </c>
    </row>
    <row r="16" spans="1:8">
      <c r="A16" s="54">
        <v>1019</v>
      </c>
      <c r="B16" s="55" t="s">
        <v>116</v>
      </c>
      <c r="C16" s="55" t="s">
        <v>112</v>
      </c>
      <c r="D16" s="55" t="s">
        <v>115</v>
      </c>
      <c r="E16" s="55">
        <v>4</v>
      </c>
      <c r="F16" s="55" t="s">
        <v>114</v>
      </c>
      <c r="G16" s="55" t="s">
        <v>107</v>
      </c>
      <c r="H16" s="54">
        <v>0</v>
      </c>
    </row>
    <row r="17" spans="1:8">
      <c r="A17" s="54">
        <v>1014</v>
      </c>
      <c r="B17" s="55" t="s">
        <v>113</v>
      </c>
      <c r="C17" s="55" t="s">
        <v>112</v>
      </c>
      <c r="D17" s="55" t="s">
        <v>23</v>
      </c>
      <c r="E17" s="55">
        <v>5</v>
      </c>
      <c r="F17" s="55" t="s">
        <v>108</v>
      </c>
      <c r="G17" s="55" t="s">
        <v>111</v>
      </c>
      <c r="H17" s="54">
        <v>4</v>
      </c>
    </row>
    <row r="18" spans="1:8">
      <c r="A18" s="54">
        <v>1017</v>
      </c>
      <c r="B18" s="55" t="s">
        <v>110</v>
      </c>
      <c r="C18" s="55" t="s">
        <v>109</v>
      </c>
      <c r="D18" s="55" t="s">
        <v>23</v>
      </c>
      <c r="E18" s="55">
        <v>5</v>
      </c>
      <c r="F18" s="55" t="s">
        <v>108</v>
      </c>
      <c r="G18" s="55" t="s">
        <v>107</v>
      </c>
      <c r="H18" s="54">
        <v>2</v>
      </c>
    </row>
    <row r="19" spans="1:8" ht="6.75" customHeight="1" thickBot="1"/>
    <row r="20" spans="1:8">
      <c r="A20" s="17" t="s">
        <v>106</v>
      </c>
      <c r="B20" s="16">
        <v>1016</v>
      </c>
      <c r="E20" s="14"/>
      <c r="H20" s="12"/>
    </row>
    <row r="21" spans="1:8">
      <c r="A21" s="56" t="s">
        <v>105</v>
      </c>
      <c r="B21" s="15"/>
      <c r="E21" s="14"/>
      <c r="H21" s="12"/>
    </row>
    <row r="22" spans="1:8">
      <c r="A22" s="56" t="s">
        <v>104</v>
      </c>
      <c r="B22" s="15"/>
      <c r="E22" s="14"/>
      <c r="H22" s="12"/>
    </row>
    <row r="23" spans="1:8" ht="13.5" thickBot="1">
      <c r="A23" s="57" t="s">
        <v>103</v>
      </c>
      <c r="B23" s="15"/>
      <c r="E23" s="14"/>
      <c r="H23" s="12"/>
    </row>
  </sheetData>
  <pageMargins left="0.75" right="0.75" top="1" bottom="1" header="0" footer="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4CBF5-A53D-4199-902C-0D29B70C216F}">
  <dimension ref="A1:G29"/>
  <sheetViews>
    <sheetView showGridLines="0" workbookViewId="0">
      <selection activeCell="F9" sqref="F9"/>
    </sheetView>
  </sheetViews>
  <sheetFormatPr baseColWidth="10" defaultRowHeight="12.75"/>
  <cols>
    <col min="1" max="1" width="12.5703125" style="12" customWidth="1"/>
    <col min="2" max="2" width="11.42578125" style="12"/>
    <col min="3" max="3" width="12.85546875" style="12" customWidth="1"/>
    <col min="4" max="5" width="11.42578125" style="12"/>
    <col min="6" max="6" width="12.5703125" style="12" bestFit="1" customWidth="1"/>
    <col min="7" max="16384" width="11.42578125" style="12"/>
  </cols>
  <sheetData>
    <row r="1" spans="1:7" ht="13.5" thickTop="1">
      <c r="A1" s="60" t="s">
        <v>60</v>
      </c>
      <c r="B1" s="61" t="s">
        <v>59</v>
      </c>
      <c r="C1" s="61" t="s">
        <v>105</v>
      </c>
      <c r="D1" s="61" t="s">
        <v>319</v>
      </c>
      <c r="E1" s="61" t="s">
        <v>318</v>
      </c>
      <c r="F1" s="61" t="s">
        <v>292</v>
      </c>
      <c r="G1" s="62" t="s">
        <v>290</v>
      </c>
    </row>
    <row r="2" spans="1:7">
      <c r="A2" s="58">
        <v>36589</v>
      </c>
      <c r="B2" s="58" t="s">
        <v>317</v>
      </c>
      <c r="C2" s="58" t="s">
        <v>281</v>
      </c>
      <c r="D2" s="58" t="s">
        <v>281</v>
      </c>
      <c r="E2" s="58">
        <v>47</v>
      </c>
      <c r="F2" s="58" t="s">
        <v>293</v>
      </c>
      <c r="G2" s="59">
        <v>56800</v>
      </c>
    </row>
    <row r="3" spans="1:7">
      <c r="A3" s="58">
        <v>36680</v>
      </c>
      <c r="B3" s="58" t="s">
        <v>316</v>
      </c>
      <c r="C3" s="58" t="s">
        <v>281</v>
      </c>
      <c r="D3" s="58" t="s">
        <v>281</v>
      </c>
      <c r="E3" s="58">
        <v>39</v>
      </c>
      <c r="F3" s="58" t="s">
        <v>293</v>
      </c>
      <c r="G3" s="59">
        <v>53000</v>
      </c>
    </row>
    <row r="4" spans="1:7">
      <c r="A4" s="58">
        <v>36742</v>
      </c>
      <c r="B4" s="58" t="s">
        <v>315</v>
      </c>
      <c r="C4" s="58" t="s">
        <v>281</v>
      </c>
      <c r="D4" s="58" t="s">
        <v>281</v>
      </c>
      <c r="E4" s="58">
        <v>35</v>
      </c>
      <c r="F4" s="58" t="s">
        <v>293</v>
      </c>
      <c r="G4" s="59">
        <v>55980</v>
      </c>
    </row>
    <row r="5" spans="1:7">
      <c r="A5" s="58">
        <v>36778</v>
      </c>
      <c r="B5" s="58" t="s">
        <v>314</v>
      </c>
      <c r="C5" s="58" t="s">
        <v>281</v>
      </c>
      <c r="D5" s="58" t="s">
        <v>281</v>
      </c>
      <c r="E5" s="58">
        <v>43</v>
      </c>
      <c r="F5" s="58" t="s">
        <v>299</v>
      </c>
      <c r="G5" s="59">
        <v>44350</v>
      </c>
    </row>
    <row r="6" spans="1:7">
      <c r="A6" s="58">
        <v>36558</v>
      </c>
      <c r="B6" s="58" t="s">
        <v>313</v>
      </c>
      <c r="C6" s="58" t="s">
        <v>301</v>
      </c>
      <c r="D6" s="58" t="s">
        <v>301</v>
      </c>
      <c r="E6" s="58">
        <v>35</v>
      </c>
      <c r="F6" s="58" t="s">
        <v>296</v>
      </c>
      <c r="G6" s="59">
        <v>45000</v>
      </c>
    </row>
    <row r="7" spans="1:7">
      <c r="A7" s="58">
        <v>36655</v>
      </c>
      <c r="B7" s="58" t="s">
        <v>312</v>
      </c>
      <c r="C7" s="58" t="s">
        <v>301</v>
      </c>
      <c r="D7" s="58" t="s">
        <v>301</v>
      </c>
      <c r="E7" s="58">
        <v>48</v>
      </c>
      <c r="F7" s="58" t="s">
        <v>296</v>
      </c>
      <c r="G7" s="59">
        <v>55000</v>
      </c>
    </row>
    <row r="8" spans="1:7">
      <c r="A8" s="58">
        <v>36622</v>
      </c>
      <c r="B8" s="58" t="s">
        <v>311</v>
      </c>
      <c r="C8" s="58" t="s">
        <v>308</v>
      </c>
      <c r="D8" s="58" t="s">
        <v>282</v>
      </c>
      <c r="E8" s="58">
        <v>44</v>
      </c>
      <c r="F8" s="58" t="s">
        <v>293</v>
      </c>
      <c r="G8" s="59">
        <v>52000</v>
      </c>
    </row>
    <row r="9" spans="1:7">
      <c r="A9" s="58">
        <v>36685</v>
      </c>
      <c r="B9" s="58" t="s">
        <v>310</v>
      </c>
      <c r="C9" s="58" t="s">
        <v>308</v>
      </c>
      <c r="D9" s="58" t="s">
        <v>282</v>
      </c>
      <c r="E9" s="58">
        <v>55</v>
      </c>
      <c r="F9" s="58" t="s">
        <v>293</v>
      </c>
      <c r="G9" s="59">
        <v>63500</v>
      </c>
    </row>
    <row r="10" spans="1:7">
      <c r="A10" s="58">
        <v>36862</v>
      </c>
      <c r="B10" s="58" t="s">
        <v>309</v>
      </c>
      <c r="C10" s="58" t="s">
        <v>308</v>
      </c>
      <c r="D10" s="58" t="s">
        <v>282</v>
      </c>
      <c r="E10" s="58">
        <v>40</v>
      </c>
      <c r="F10" s="58" t="s">
        <v>299</v>
      </c>
      <c r="G10" s="59">
        <v>68000</v>
      </c>
    </row>
    <row r="11" spans="1:7">
      <c r="A11" s="58">
        <v>36533</v>
      </c>
      <c r="B11" s="58" t="s">
        <v>307</v>
      </c>
      <c r="C11" s="58" t="s">
        <v>304</v>
      </c>
      <c r="D11" s="58" t="s">
        <v>281</v>
      </c>
      <c r="E11" s="58">
        <v>38</v>
      </c>
      <c r="F11" s="58" t="s">
        <v>296</v>
      </c>
      <c r="G11" s="59">
        <v>35000</v>
      </c>
    </row>
    <row r="12" spans="1:7">
      <c r="A12" s="58">
        <v>36623</v>
      </c>
      <c r="B12" s="58" t="s">
        <v>306</v>
      </c>
      <c r="C12" s="58" t="s">
        <v>304</v>
      </c>
      <c r="D12" s="58" t="s">
        <v>281</v>
      </c>
      <c r="E12" s="58">
        <v>32</v>
      </c>
      <c r="F12" s="58" t="s">
        <v>299</v>
      </c>
      <c r="G12" s="59">
        <v>46800</v>
      </c>
    </row>
    <row r="13" spans="1:7">
      <c r="A13" s="58">
        <v>36715</v>
      </c>
      <c r="B13" s="58" t="s">
        <v>42</v>
      </c>
      <c r="C13" s="58" t="s">
        <v>304</v>
      </c>
      <c r="D13" s="58" t="s">
        <v>281</v>
      </c>
      <c r="E13" s="58">
        <v>41</v>
      </c>
      <c r="F13" s="58" t="s">
        <v>299</v>
      </c>
      <c r="G13" s="59">
        <v>50500</v>
      </c>
    </row>
    <row r="14" spans="1:7">
      <c r="A14" s="58">
        <v>36842</v>
      </c>
      <c r="B14" s="58" t="s">
        <v>305</v>
      </c>
      <c r="C14" s="58" t="s">
        <v>304</v>
      </c>
      <c r="D14" s="58" t="s">
        <v>281</v>
      </c>
      <c r="E14" s="58">
        <v>48</v>
      </c>
      <c r="F14" s="58" t="s">
        <v>296</v>
      </c>
      <c r="G14" s="59">
        <v>60000</v>
      </c>
    </row>
    <row r="15" spans="1:7">
      <c r="A15" s="58">
        <v>36747</v>
      </c>
      <c r="B15" s="58" t="s">
        <v>16</v>
      </c>
      <c r="C15" s="58" t="s">
        <v>302</v>
      </c>
      <c r="D15" s="58" t="s">
        <v>301</v>
      </c>
      <c r="E15" s="58">
        <v>54</v>
      </c>
      <c r="F15" s="58" t="s">
        <v>293</v>
      </c>
      <c r="G15" s="59">
        <v>40000</v>
      </c>
    </row>
    <row r="16" spans="1:7">
      <c r="A16" s="58">
        <v>36801</v>
      </c>
      <c r="B16" s="58" t="s">
        <v>303</v>
      </c>
      <c r="C16" s="58" t="s">
        <v>302</v>
      </c>
      <c r="D16" s="58" t="s">
        <v>301</v>
      </c>
      <c r="E16" s="58">
        <v>40</v>
      </c>
      <c r="F16" s="58" t="s">
        <v>293</v>
      </c>
      <c r="G16" s="59">
        <v>40000</v>
      </c>
    </row>
    <row r="17" spans="1:7">
      <c r="A17" s="58">
        <v>36530</v>
      </c>
      <c r="B17" s="58" t="s">
        <v>300</v>
      </c>
      <c r="C17" s="58" t="s">
        <v>282</v>
      </c>
      <c r="D17" s="58" t="s">
        <v>282</v>
      </c>
      <c r="E17" s="58">
        <v>32</v>
      </c>
      <c r="F17" s="58" t="s">
        <v>299</v>
      </c>
      <c r="G17" s="59">
        <v>55000</v>
      </c>
    </row>
    <row r="18" spans="1:7">
      <c r="A18" s="58">
        <v>36590</v>
      </c>
      <c r="B18" s="58" t="s">
        <v>298</v>
      </c>
      <c r="C18" s="58" t="s">
        <v>282</v>
      </c>
      <c r="D18" s="58" t="s">
        <v>282</v>
      </c>
      <c r="E18" s="58">
        <v>50</v>
      </c>
      <c r="F18" s="58" t="s">
        <v>296</v>
      </c>
      <c r="G18" s="59">
        <v>32000</v>
      </c>
    </row>
    <row r="19" spans="1:7">
      <c r="A19" s="58">
        <v>36618</v>
      </c>
      <c r="B19" s="58" t="s">
        <v>297</v>
      </c>
      <c r="C19" s="58" t="s">
        <v>282</v>
      </c>
      <c r="D19" s="58" t="s">
        <v>282</v>
      </c>
      <c r="E19" s="58">
        <v>57</v>
      </c>
      <c r="F19" s="58" t="s">
        <v>296</v>
      </c>
      <c r="G19" s="59">
        <v>49000</v>
      </c>
    </row>
    <row r="20" spans="1:7">
      <c r="A20" s="58">
        <v>36802</v>
      </c>
      <c r="B20" s="58" t="s">
        <v>295</v>
      </c>
      <c r="C20" s="58" t="s">
        <v>282</v>
      </c>
      <c r="D20" s="58" t="s">
        <v>282</v>
      </c>
      <c r="E20" s="58">
        <v>53</v>
      </c>
      <c r="F20" s="58" t="s">
        <v>293</v>
      </c>
      <c r="G20" s="59">
        <v>37000</v>
      </c>
    </row>
    <row r="21" spans="1:7">
      <c r="A21" s="58">
        <v>36811</v>
      </c>
      <c r="B21" s="58" t="s">
        <v>294</v>
      </c>
      <c r="C21" s="58" t="s">
        <v>282</v>
      </c>
      <c r="D21" s="58" t="s">
        <v>282</v>
      </c>
      <c r="E21" s="58">
        <v>37</v>
      </c>
      <c r="F21" s="58" t="s">
        <v>293</v>
      </c>
      <c r="G21" s="59">
        <v>51000</v>
      </c>
    </row>
    <row r="23" spans="1:7">
      <c r="A23" s="30"/>
    </row>
    <row r="24" spans="1:7">
      <c r="A24" s="28"/>
    </row>
    <row r="25" spans="1:7">
      <c r="A25" s="30" t="s">
        <v>548</v>
      </c>
    </row>
    <row r="26" spans="1:7">
      <c r="A26" s="29" t="s">
        <v>549</v>
      </c>
    </row>
    <row r="28" spans="1:7" ht="13.5" thickBot="1">
      <c r="A28" s="28"/>
      <c r="B28" s="27" t="s">
        <v>60</v>
      </c>
      <c r="C28" s="27" t="s">
        <v>59</v>
      </c>
      <c r="D28" s="27" t="s">
        <v>292</v>
      </c>
      <c r="E28" s="27" t="s">
        <v>291</v>
      </c>
      <c r="F28" s="27" t="s">
        <v>290</v>
      </c>
    </row>
    <row r="29" spans="1:7" ht="13.5" thickBot="1">
      <c r="B29" s="31"/>
      <c r="C29" s="31"/>
      <c r="D29" s="31"/>
      <c r="E29" s="31"/>
      <c r="F29" s="31"/>
    </row>
  </sheetData>
  <pageMargins left="0.75" right="0.75" top="1" bottom="1" header="0" footer="0"/>
  <pageSetup orientation="portrait" horizontalDpi="0" verticalDpi="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89090-AD47-41D3-BFE3-0EDCABC3A779}">
  <dimension ref="A1:L25"/>
  <sheetViews>
    <sheetView showGridLines="0" zoomScale="90" workbookViewId="0">
      <selection activeCell="F11" sqref="F11"/>
    </sheetView>
  </sheetViews>
  <sheetFormatPr baseColWidth="10" defaultRowHeight="12.75"/>
  <cols>
    <col min="1" max="1" width="11.28515625" style="18" customWidth="1"/>
    <col min="2" max="2" width="17.7109375" style="18" customWidth="1"/>
    <col min="3" max="3" width="13.85546875" style="18" customWidth="1"/>
    <col min="4" max="4" width="12.85546875" style="18" bestFit="1" customWidth="1"/>
    <col min="5" max="5" width="13.28515625" style="18" bestFit="1" customWidth="1"/>
    <col min="6" max="6" width="18.5703125" style="18" bestFit="1" customWidth="1"/>
    <col min="7" max="7" width="10.42578125" style="18" bestFit="1" customWidth="1"/>
    <col min="8" max="8" width="12.42578125" style="18" customWidth="1"/>
    <col min="9" max="9" width="9.7109375" style="18" customWidth="1"/>
    <col min="10" max="10" width="5.28515625" style="18" customWidth="1"/>
    <col min="11" max="16384" width="11.42578125" style="18"/>
  </cols>
  <sheetData>
    <row r="1" spans="1:12" ht="15.75" customHeight="1" thickBot="1">
      <c r="A1" s="70" t="s">
        <v>179</v>
      </c>
      <c r="B1" s="71" t="s">
        <v>64</v>
      </c>
      <c r="C1" s="72" t="s">
        <v>178</v>
      </c>
      <c r="D1" s="73" t="s">
        <v>177</v>
      </c>
      <c r="E1" s="73" t="s">
        <v>176</v>
      </c>
      <c r="F1" s="73" t="s">
        <v>141</v>
      </c>
      <c r="G1" s="71" t="s">
        <v>175</v>
      </c>
      <c r="H1" s="74" t="s">
        <v>174</v>
      </c>
      <c r="I1" s="75" t="s">
        <v>173</v>
      </c>
      <c r="K1" s="20" t="s">
        <v>174</v>
      </c>
      <c r="L1" s="19" t="s">
        <v>173</v>
      </c>
    </row>
    <row r="2" spans="1:12">
      <c r="A2" s="76">
        <v>2</v>
      </c>
      <c r="B2" s="77" t="s">
        <v>172</v>
      </c>
      <c r="C2" s="76">
        <v>2003</v>
      </c>
      <c r="D2" s="78" t="s">
        <v>165</v>
      </c>
      <c r="E2" s="79">
        <v>446000</v>
      </c>
      <c r="F2" s="80" t="s">
        <v>150</v>
      </c>
      <c r="G2" s="81" t="s">
        <v>112</v>
      </c>
      <c r="H2" s="32"/>
      <c r="I2" s="33"/>
      <c r="K2" s="42">
        <v>97645</v>
      </c>
      <c r="L2" s="43">
        <v>348355</v>
      </c>
    </row>
    <row r="3" spans="1:12" ht="12.95" customHeight="1">
      <c r="A3" s="76">
        <v>3</v>
      </c>
      <c r="B3" s="77" t="s">
        <v>171</v>
      </c>
      <c r="C3" s="76">
        <v>2003</v>
      </c>
      <c r="D3" s="78" t="s">
        <v>163</v>
      </c>
      <c r="E3" s="79">
        <v>553000</v>
      </c>
      <c r="F3" s="80" t="s">
        <v>150</v>
      </c>
      <c r="G3" s="81" t="s">
        <v>112</v>
      </c>
      <c r="H3" s="32"/>
      <c r="I3" s="33"/>
      <c r="K3" s="42">
        <v>33327</v>
      </c>
      <c r="L3" s="43">
        <v>519673</v>
      </c>
    </row>
    <row r="4" spans="1:12" ht="12.95" customHeight="1">
      <c r="A4" s="76">
        <v>4</v>
      </c>
      <c r="B4" s="77" t="s">
        <v>170</v>
      </c>
      <c r="C4" s="76">
        <v>2003</v>
      </c>
      <c r="D4" s="78" t="s">
        <v>161</v>
      </c>
      <c r="E4" s="79">
        <v>441000</v>
      </c>
      <c r="F4" s="80" t="s">
        <v>150</v>
      </c>
      <c r="G4" s="81" t="s">
        <v>109</v>
      </c>
      <c r="H4" s="32"/>
      <c r="I4" s="33"/>
      <c r="K4" s="42">
        <v>33922</v>
      </c>
      <c r="L4" s="43">
        <v>407078</v>
      </c>
    </row>
    <row r="5" spans="1:12" ht="12.95" customHeight="1">
      <c r="A5" s="76">
        <v>5</v>
      </c>
      <c r="B5" s="77" t="s">
        <v>169</v>
      </c>
      <c r="C5" s="76">
        <v>2003</v>
      </c>
      <c r="D5" s="78" t="s">
        <v>159</v>
      </c>
      <c r="E5" s="79">
        <v>557000</v>
      </c>
      <c r="F5" s="80" t="s">
        <v>150</v>
      </c>
      <c r="G5" s="81" t="s">
        <v>112</v>
      </c>
      <c r="H5" s="32"/>
      <c r="I5" s="33"/>
      <c r="K5" s="42">
        <v>28350</v>
      </c>
      <c r="L5" s="43">
        <v>528650</v>
      </c>
    </row>
    <row r="6" spans="1:12" ht="12.95" customHeight="1">
      <c r="A6" s="76">
        <v>6</v>
      </c>
      <c r="B6" s="77" t="s">
        <v>149</v>
      </c>
      <c r="C6" s="76">
        <v>2003</v>
      </c>
      <c r="D6" s="78" t="s">
        <v>157</v>
      </c>
      <c r="E6" s="79">
        <v>423000</v>
      </c>
      <c r="F6" s="80" t="s">
        <v>150</v>
      </c>
      <c r="G6" s="81" t="s">
        <v>112</v>
      </c>
      <c r="H6" s="32"/>
      <c r="I6" s="33"/>
      <c r="K6" s="42">
        <v>70520</v>
      </c>
      <c r="L6" s="43">
        <v>352480</v>
      </c>
    </row>
    <row r="7" spans="1:12" ht="12.95" customHeight="1">
      <c r="A7" s="76">
        <v>7</v>
      </c>
      <c r="B7" s="77" t="s">
        <v>168</v>
      </c>
      <c r="C7" s="76">
        <v>2003</v>
      </c>
      <c r="D7" s="78" t="s">
        <v>155</v>
      </c>
      <c r="E7" s="79">
        <v>781000</v>
      </c>
      <c r="F7" s="80" t="s">
        <v>150</v>
      </c>
      <c r="G7" s="81" t="s">
        <v>112</v>
      </c>
      <c r="H7" s="32"/>
      <c r="I7" s="33"/>
      <c r="K7" s="42">
        <v>48312</v>
      </c>
      <c r="L7" s="43">
        <v>732688</v>
      </c>
    </row>
    <row r="8" spans="1:12" ht="12.95" customHeight="1">
      <c r="A8" s="76">
        <v>8</v>
      </c>
      <c r="B8" s="77" t="s">
        <v>167</v>
      </c>
      <c r="C8" s="76">
        <v>2004</v>
      </c>
      <c r="D8" s="78" t="s">
        <v>144</v>
      </c>
      <c r="E8" s="79">
        <v>440000</v>
      </c>
      <c r="F8" s="80" t="s">
        <v>150</v>
      </c>
      <c r="G8" s="81" t="s">
        <v>112</v>
      </c>
      <c r="H8" s="32"/>
      <c r="I8" s="33"/>
      <c r="K8" s="42">
        <v>67025</v>
      </c>
      <c r="L8" s="43">
        <v>372975</v>
      </c>
    </row>
    <row r="9" spans="1:12" ht="12.95" customHeight="1">
      <c r="A9" s="76">
        <v>9</v>
      </c>
      <c r="B9" s="77" t="s">
        <v>166</v>
      </c>
      <c r="C9" s="76">
        <v>2004</v>
      </c>
      <c r="D9" s="78" t="s">
        <v>165</v>
      </c>
      <c r="E9" s="79">
        <v>731000</v>
      </c>
      <c r="F9" s="80" t="s">
        <v>150</v>
      </c>
      <c r="G9" s="81" t="s">
        <v>112</v>
      </c>
      <c r="H9" s="32"/>
      <c r="I9" s="33"/>
      <c r="K9" s="42">
        <v>72807</v>
      </c>
      <c r="L9" s="43">
        <v>658193</v>
      </c>
    </row>
    <row r="10" spans="1:12" ht="12.95" customHeight="1">
      <c r="A10" s="76">
        <v>10</v>
      </c>
      <c r="B10" s="77" t="s">
        <v>164</v>
      </c>
      <c r="C10" s="76">
        <v>2004</v>
      </c>
      <c r="D10" s="78" t="s">
        <v>163</v>
      </c>
      <c r="E10" s="79">
        <v>621000</v>
      </c>
      <c r="F10" s="80" t="s">
        <v>150</v>
      </c>
      <c r="G10" s="81" t="s">
        <v>112</v>
      </c>
      <c r="H10" s="32"/>
      <c r="I10" s="33"/>
      <c r="K10" s="42">
        <v>59887</v>
      </c>
      <c r="L10" s="43">
        <v>561113</v>
      </c>
    </row>
    <row r="11" spans="1:12" ht="12.95" customHeight="1">
      <c r="A11" s="76">
        <v>11</v>
      </c>
      <c r="B11" s="77" t="s">
        <v>162</v>
      </c>
      <c r="C11" s="76">
        <v>2004</v>
      </c>
      <c r="D11" s="78" t="s">
        <v>161</v>
      </c>
      <c r="E11" s="79">
        <v>763000</v>
      </c>
      <c r="F11" s="80" t="s">
        <v>150</v>
      </c>
      <c r="G11" s="81" t="s">
        <v>112</v>
      </c>
      <c r="H11" s="32"/>
      <c r="I11" s="33"/>
      <c r="K11" s="42">
        <v>75097</v>
      </c>
      <c r="L11" s="43">
        <v>687903</v>
      </c>
    </row>
    <row r="12" spans="1:12" ht="12.95" customHeight="1">
      <c r="A12" s="76">
        <v>12</v>
      </c>
      <c r="B12" s="77" t="s">
        <v>160</v>
      </c>
      <c r="C12" s="76">
        <v>2004</v>
      </c>
      <c r="D12" s="78" t="s">
        <v>159</v>
      </c>
      <c r="E12" s="79">
        <v>418000</v>
      </c>
      <c r="F12" s="80" t="s">
        <v>150</v>
      </c>
      <c r="G12" s="81" t="s">
        <v>112</v>
      </c>
      <c r="H12" s="32"/>
      <c r="I12" s="33"/>
      <c r="K12" s="42">
        <v>30000</v>
      </c>
      <c r="L12" s="43">
        <v>388000</v>
      </c>
    </row>
    <row r="13" spans="1:12" ht="12.95" customHeight="1">
      <c r="A13" s="76">
        <v>13</v>
      </c>
      <c r="B13" s="77" t="s">
        <v>158</v>
      </c>
      <c r="C13" s="76">
        <v>2004</v>
      </c>
      <c r="D13" s="78" t="s">
        <v>157</v>
      </c>
      <c r="E13" s="79">
        <v>697000</v>
      </c>
      <c r="F13" s="80" t="s">
        <v>150</v>
      </c>
      <c r="G13" s="81" t="s">
        <v>112</v>
      </c>
      <c r="H13" s="32"/>
      <c r="I13" s="33"/>
      <c r="K13" s="42">
        <v>54266</v>
      </c>
      <c r="L13" s="43">
        <v>642734</v>
      </c>
    </row>
    <row r="14" spans="1:12" ht="12.95" customHeight="1">
      <c r="A14" s="76">
        <v>14</v>
      </c>
      <c r="B14" s="77" t="s">
        <v>156</v>
      </c>
      <c r="C14" s="76">
        <v>2004</v>
      </c>
      <c r="D14" s="78" t="s">
        <v>155</v>
      </c>
      <c r="E14" s="79">
        <v>428000</v>
      </c>
      <c r="F14" s="80" t="s">
        <v>143</v>
      </c>
      <c r="G14" s="81" t="s">
        <v>109</v>
      </c>
      <c r="H14" s="32"/>
      <c r="I14" s="33"/>
      <c r="K14" s="42">
        <v>69000</v>
      </c>
      <c r="L14" s="43">
        <v>359000</v>
      </c>
    </row>
    <row r="15" spans="1:12" ht="12.95" customHeight="1">
      <c r="A15" s="76">
        <v>15</v>
      </c>
      <c r="B15" s="77" t="s">
        <v>154</v>
      </c>
      <c r="C15" s="76">
        <v>2004</v>
      </c>
      <c r="D15" s="78" t="s">
        <v>153</v>
      </c>
      <c r="E15" s="79">
        <v>584000</v>
      </c>
      <c r="F15" s="80" t="s">
        <v>143</v>
      </c>
      <c r="G15" s="81" t="s">
        <v>112</v>
      </c>
      <c r="H15" s="32"/>
      <c r="I15" s="33"/>
      <c r="K15" s="42">
        <v>77826</v>
      </c>
      <c r="L15" s="43">
        <v>506174</v>
      </c>
    </row>
    <row r="16" spans="1:12" ht="12.95" customHeight="1">
      <c r="A16" s="76">
        <v>16</v>
      </c>
      <c r="B16" s="77" t="s">
        <v>152</v>
      </c>
      <c r="C16" s="76">
        <v>2004</v>
      </c>
      <c r="D16" s="78" t="s">
        <v>151</v>
      </c>
      <c r="E16" s="79">
        <v>644000</v>
      </c>
      <c r="F16" s="80" t="s">
        <v>150</v>
      </c>
      <c r="G16" s="81" t="s">
        <v>112</v>
      </c>
      <c r="H16" s="32"/>
      <c r="I16" s="33"/>
      <c r="K16" s="42">
        <v>59953</v>
      </c>
      <c r="L16" s="43">
        <v>584047</v>
      </c>
    </row>
    <row r="17" spans="1:12" ht="12.95" customHeight="1">
      <c r="A17" s="76">
        <v>17</v>
      </c>
      <c r="B17" s="77" t="s">
        <v>149</v>
      </c>
      <c r="C17" s="76">
        <v>2004</v>
      </c>
      <c r="D17" s="78" t="s">
        <v>146</v>
      </c>
      <c r="E17" s="79">
        <v>649000</v>
      </c>
      <c r="F17" s="80" t="s">
        <v>143</v>
      </c>
      <c r="G17" s="81" t="s">
        <v>112</v>
      </c>
      <c r="H17" s="32"/>
      <c r="I17" s="33"/>
      <c r="K17" s="42">
        <v>23348</v>
      </c>
      <c r="L17" s="43">
        <v>625652</v>
      </c>
    </row>
    <row r="18" spans="1:12" ht="12.95" customHeight="1">
      <c r="A18" s="76">
        <v>18</v>
      </c>
      <c r="B18" s="77" t="s">
        <v>148</v>
      </c>
      <c r="C18" s="76">
        <v>2004</v>
      </c>
      <c r="D18" s="78" t="s">
        <v>146</v>
      </c>
      <c r="E18" s="79">
        <v>446000</v>
      </c>
      <c r="F18" s="80" t="s">
        <v>143</v>
      </c>
      <c r="G18" s="81" t="s">
        <v>112</v>
      </c>
      <c r="H18" s="32"/>
      <c r="I18" s="33"/>
      <c r="K18" s="42">
        <v>60000</v>
      </c>
      <c r="L18" s="43">
        <v>386000</v>
      </c>
    </row>
    <row r="19" spans="1:12" ht="12.95" customHeight="1">
      <c r="A19" s="76">
        <v>19</v>
      </c>
      <c r="B19" s="77" t="s">
        <v>147</v>
      </c>
      <c r="C19" s="76">
        <v>2004</v>
      </c>
      <c r="D19" s="78" t="s">
        <v>146</v>
      </c>
      <c r="E19" s="79">
        <v>678000</v>
      </c>
      <c r="F19" s="80" t="s">
        <v>143</v>
      </c>
      <c r="G19" s="81" t="s">
        <v>112</v>
      </c>
      <c r="H19" s="32"/>
      <c r="I19" s="33"/>
      <c r="K19" s="42">
        <v>28255</v>
      </c>
      <c r="L19" s="43">
        <v>649745</v>
      </c>
    </row>
    <row r="20" spans="1:12" ht="12.95" customHeight="1">
      <c r="A20" s="76">
        <v>20</v>
      </c>
      <c r="B20" s="77" t="s">
        <v>145</v>
      </c>
      <c r="C20" s="76">
        <v>2005</v>
      </c>
      <c r="D20" s="78" t="s">
        <v>144</v>
      </c>
      <c r="E20" s="79">
        <v>621000</v>
      </c>
      <c r="F20" s="80" t="s">
        <v>143</v>
      </c>
      <c r="G20" s="81" t="s">
        <v>112</v>
      </c>
      <c r="H20" s="32"/>
      <c r="I20" s="33"/>
      <c r="K20" s="42">
        <v>18224</v>
      </c>
      <c r="L20" s="43">
        <v>602776</v>
      </c>
    </row>
    <row r="21" spans="1:12" ht="12.95" customHeight="1"/>
    <row r="22" spans="1:12" ht="12.95" customHeight="1"/>
    <row r="23" spans="1:12" ht="12.95" customHeight="1">
      <c r="A23"/>
      <c r="B23"/>
      <c r="C23"/>
      <c r="D23"/>
      <c r="E23"/>
      <c r="F23"/>
      <c r="G23"/>
      <c r="H23"/>
      <c r="I23"/>
      <c r="K23"/>
      <c r="L23"/>
    </row>
    <row r="24" spans="1:12" ht="12.95" customHeight="1">
      <c r="A24"/>
      <c r="B24"/>
      <c r="C24"/>
      <c r="D24"/>
      <c r="E24"/>
      <c r="F24"/>
      <c r="G24"/>
      <c r="H24"/>
      <c r="I24"/>
    </row>
    <row r="25" spans="1:12" ht="12.95" customHeight="1">
      <c r="A25"/>
      <c r="B25"/>
      <c r="C25"/>
      <c r="D25"/>
      <c r="E25"/>
      <c r="F25"/>
      <c r="G25"/>
      <c r="H25"/>
      <c r="I25"/>
    </row>
  </sheetData>
  <pageMargins left="0.75" right="0.75" top="1" bottom="1" header="0" footer="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539F0-5E97-40D0-991F-787EB455C26C}">
  <dimension ref="E4:F24"/>
  <sheetViews>
    <sheetView showGridLines="0" zoomScale="90" workbookViewId="0">
      <selection activeCell="I10" sqref="I10"/>
    </sheetView>
  </sheetViews>
  <sheetFormatPr baseColWidth="10" defaultRowHeight="12.75"/>
  <cols>
    <col min="1" max="16384" width="11.42578125" style="18"/>
  </cols>
  <sheetData>
    <row r="4" spans="5:6" ht="13.5" thickBot="1"/>
    <row r="5" spans="5:6" ht="13.5" thickBot="1">
      <c r="E5" s="68" t="s">
        <v>180</v>
      </c>
      <c r="F5" s="69" t="s">
        <v>174</v>
      </c>
    </row>
    <row r="6" spans="5:6">
      <c r="E6" s="64">
        <v>2</v>
      </c>
      <c r="F6" s="65">
        <v>97645</v>
      </c>
    </row>
    <row r="7" spans="5:6">
      <c r="E7" s="66">
        <v>3</v>
      </c>
      <c r="F7" s="67">
        <v>33327</v>
      </c>
    </row>
    <row r="8" spans="5:6">
      <c r="E8" s="64">
        <v>4</v>
      </c>
      <c r="F8" s="67">
        <v>33922</v>
      </c>
    </row>
    <row r="9" spans="5:6">
      <c r="E9" s="66">
        <v>5</v>
      </c>
      <c r="F9" s="67">
        <v>28350</v>
      </c>
    </row>
    <row r="10" spans="5:6">
      <c r="E10" s="64">
        <v>6</v>
      </c>
      <c r="F10" s="67">
        <v>70520</v>
      </c>
    </row>
    <row r="11" spans="5:6">
      <c r="E11" s="66">
        <v>7</v>
      </c>
      <c r="F11" s="67">
        <v>48312</v>
      </c>
    </row>
    <row r="12" spans="5:6">
      <c r="E12" s="64">
        <v>8</v>
      </c>
      <c r="F12" s="67">
        <v>67025</v>
      </c>
    </row>
    <row r="13" spans="5:6">
      <c r="E13" s="66">
        <v>9</v>
      </c>
      <c r="F13" s="67">
        <v>72807</v>
      </c>
    </row>
    <row r="14" spans="5:6">
      <c r="E14" s="66">
        <v>10</v>
      </c>
      <c r="F14" s="67">
        <v>59887</v>
      </c>
    </row>
    <row r="15" spans="5:6">
      <c r="E15" s="66">
        <v>11</v>
      </c>
      <c r="F15" s="67">
        <v>75097</v>
      </c>
    </row>
    <row r="16" spans="5:6">
      <c r="E16" s="66">
        <v>12</v>
      </c>
      <c r="F16" s="67">
        <v>30000</v>
      </c>
    </row>
    <row r="17" spans="5:6">
      <c r="E17" s="66">
        <v>13</v>
      </c>
      <c r="F17" s="67">
        <v>54266</v>
      </c>
    </row>
    <row r="18" spans="5:6">
      <c r="E18" s="66">
        <v>14</v>
      </c>
      <c r="F18" s="67">
        <v>69000</v>
      </c>
    </row>
    <row r="19" spans="5:6">
      <c r="E19" s="66">
        <v>15</v>
      </c>
      <c r="F19" s="67">
        <v>77826</v>
      </c>
    </row>
    <row r="20" spans="5:6">
      <c r="E20" s="66">
        <v>16</v>
      </c>
      <c r="F20" s="67">
        <v>59953</v>
      </c>
    </row>
    <row r="21" spans="5:6">
      <c r="E21" s="66">
        <v>17</v>
      </c>
      <c r="F21" s="67">
        <v>23348</v>
      </c>
    </row>
    <row r="22" spans="5:6">
      <c r="E22" s="66">
        <v>18</v>
      </c>
      <c r="F22" s="67">
        <v>60000</v>
      </c>
    </row>
    <row r="23" spans="5:6">
      <c r="E23" s="66">
        <v>19</v>
      </c>
      <c r="F23" s="67">
        <v>28255</v>
      </c>
    </row>
    <row r="24" spans="5:6">
      <c r="E24" s="66">
        <v>20</v>
      </c>
      <c r="F24" s="67">
        <v>18224</v>
      </c>
    </row>
  </sheetData>
  <pageMargins left="0.75" right="0.75" top="1" bottom="1" header="0" footer="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BCBF5-FB14-41A4-BB87-FA03CAADB6CD}">
  <sheetPr>
    <tabColor indexed="22"/>
  </sheetPr>
  <dimension ref="A1:J73"/>
  <sheetViews>
    <sheetView showGridLines="0" tabSelected="1" topLeftCell="A58" workbookViewId="0">
      <selection activeCell="D86" sqref="D85:D86"/>
    </sheetView>
  </sheetViews>
  <sheetFormatPr baseColWidth="10" defaultRowHeight="12.75"/>
  <cols>
    <col min="1" max="1" width="21.42578125" style="12" customWidth="1"/>
    <col min="2" max="2" width="12.85546875" style="12" customWidth="1"/>
    <col min="3" max="3" width="9.85546875" style="12" bestFit="1" customWidth="1"/>
    <col min="4" max="4" width="41.5703125" style="12" bestFit="1" customWidth="1"/>
    <col min="5" max="5" width="8.42578125" style="12" bestFit="1" customWidth="1"/>
    <col min="6" max="6" width="8.85546875" style="12" bestFit="1" customWidth="1"/>
    <col min="7" max="7" width="12.85546875" style="12" bestFit="1" customWidth="1"/>
    <col min="8" max="8" width="11" style="12" bestFit="1" customWidth="1"/>
    <col min="9" max="9" width="13.5703125" style="12" bestFit="1" customWidth="1"/>
    <col min="10" max="10" width="10.140625" style="12" bestFit="1" customWidth="1"/>
    <col min="11" max="16384" width="11.42578125" style="12"/>
  </cols>
  <sheetData>
    <row r="1" spans="1:10">
      <c r="A1" s="26" t="s">
        <v>550</v>
      </c>
      <c r="B1" s="26"/>
      <c r="C1" s="26"/>
      <c r="D1" s="26"/>
      <c r="E1" s="26"/>
      <c r="F1" s="26"/>
      <c r="G1" s="26"/>
    </row>
    <row r="2" spans="1:10">
      <c r="A2" s="26"/>
      <c r="B2" s="26"/>
      <c r="C2" s="26"/>
      <c r="D2" s="26"/>
      <c r="E2" s="26"/>
      <c r="F2" s="26"/>
      <c r="G2" s="26"/>
    </row>
    <row r="3" spans="1:10" ht="25.5">
      <c r="A3" s="82" t="s">
        <v>60</v>
      </c>
      <c r="B3" s="82" t="s">
        <v>59</v>
      </c>
      <c r="C3" s="82" t="s">
        <v>329</v>
      </c>
      <c r="D3" s="82" t="s">
        <v>275</v>
      </c>
      <c r="E3" s="82" t="s">
        <v>546</v>
      </c>
      <c r="F3" s="82" t="s">
        <v>545</v>
      </c>
      <c r="G3" s="82" t="s">
        <v>544</v>
      </c>
      <c r="H3" s="82" t="s">
        <v>274</v>
      </c>
      <c r="I3" s="83" t="s">
        <v>273</v>
      </c>
      <c r="J3" s="82" t="s">
        <v>272</v>
      </c>
    </row>
    <row r="4" spans="1:10">
      <c r="A4" s="84" t="s">
        <v>247</v>
      </c>
      <c r="B4" s="85" t="s">
        <v>543</v>
      </c>
      <c r="C4" s="85" t="s">
        <v>542</v>
      </c>
      <c r="D4" s="86" t="s">
        <v>246</v>
      </c>
      <c r="E4" s="45">
        <v>5333268</v>
      </c>
      <c r="F4" s="45" t="s">
        <v>229</v>
      </c>
      <c r="G4" s="87">
        <v>518150</v>
      </c>
      <c r="H4" s="85" t="s">
        <v>226</v>
      </c>
      <c r="I4" s="88" t="s">
        <v>210</v>
      </c>
      <c r="J4" s="89">
        <v>25000</v>
      </c>
    </row>
    <row r="5" spans="1:10">
      <c r="A5" s="84" t="s">
        <v>228</v>
      </c>
      <c r="B5" s="85" t="s">
        <v>354</v>
      </c>
      <c r="C5" s="85" t="s">
        <v>541</v>
      </c>
      <c r="D5" s="85" t="s">
        <v>227</v>
      </c>
      <c r="E5" s="90">
        <v>8574321</v>
      </c>
      <c r="F5" s="45" t="s">
        <v>217</v>
      </c>
      <c r="G5" s="87">
        <v>689027</v>
      </c>
      <c r="H5" s="85" t="s">
        <v>226</v>
      </c>
      <c r="I5" s="88" t="s">
        <v>225</v>
      </c>
      <c r="J5" s="89">
        <v>25475</v>
      </c>
    </row>
    <row r="6" spans="1:10">
      <c r="A6" s="84" t="s">
        <v>540</v>
      </c>
      <c r="B6" s="85" t="s">
        <v>539</v>
      </c>
      <c r="C6" s="85" t="s">
        <v>538</v>
      </c>
      <c r="D6" s="85" t="s">
        <v>283</v>
      </c>
      <c r="E6" s="90">
        <v>5552282</v>
      </c>
      <c r="F6" s="45" t="s">
        <v>217</v>
      </c>
      <c r="G6" s="87">
        <v>905351</v>
      </c>
      <c r="H6" s="85" t="s">
        <v>226</v>
      </c>
      <c r="I6" s="88" t="s">
        <v>225</v>
      </c>
      <c r="J6" s="89">
        <v>34000</v>
      </c>
    </row>
    <row r="7" spans="1:10">
      <c r="A7" s="84" t="s">
        <v>537</v>
      </c>
      <c r="B7" s="85" t="s">
        <v>536</v>
      </c>
      <c r="C7" s="85" t="s">
        <v>535</v>
      </c>
      <c r="D7" s="85" t="s">
        <v>284</v>
      </c>
      <c r="E7" s="90">
        <v>5551212</v>
      </c>
      <c r="F7" s="45" t="s">
        <v>217</v>
      </c>
      <c r="G7" s="87">
        <v>998061</v>
      </c>
      <c r="H7" s="85" t="s">
        <v>226</v>
      </c>
      <c r="I7" s="88" t="s">
        <v>215</v>
      </c>
      <c r="J7" s="89">
        <v>23000</v>
      </c>
    </row>
    <row r="8" spans="1:10">
      <c r="A8" s="84" t="s">
        <v>330</v>
      </c>
      <c r="B8" s="85" t="s">
        <v>534</v>
      </c>
      <c r="C8" s="85" t="s">
        <v>533</v>
      </c>
      <c r="D8" s="90" t="s">
        <v>532</v>
      </c>
      <c r="E8" s="91">
        <v>2806000</v>
      </c>
      <c r="F8" s="45" t="s">
        <v>229</v>
      </c>
      <c r="G8" s="87">
        <v>750834</v>
      </c>
      <c r="H8" s="85" t="s">
        <v>226</v>
      </c>
      <c r="I8" s="88" t="s">
        <v>215</v>
      </c>
      <c r="J8" s="89">
        <v>30000</v>
      </c>
    </row>
    <row r="9" spans="1:10">
      <c r="A9" s="84" t="s">
        <v>531</v>
      </c>
      <c r="B9" s="85" t="s">
        <v>530</v>
      </c>
      <c r="C9" s="85" t="s">
        <v>529</v>
      </c>
      <c r="D9" s="90" t="s">
        <v>434</v>
      </c>
      <c r="E9" s="91">
        <v>6335243</v>
      </c>
      <c r="F9" s="45" t="s">
        <v>217</v>
      </c>
      <c r="G9" s="87">
        <v>905351</v>
      </c>
      <c r="H9" s="85" t="s">
        <v>226</v>
      </c>
      <c r="I9" s="88" t="s">
        <v>210</v>
      </c>
      <c r="J9" s="89">
        <v>29980</v>
      </c>
    </row>
    <row r="10" spans="1:10">
      <c r="A10" s="84" t="s">
        <v>528</v>
      </c>
      <c r="B10" s="85" t="s">
        <v>527</v>
      </c>
      <c r="C10" s="85" t="s">
        <v>526</v>
      </c>
      <c r="D10" s="90" t="s">
        <v>525</v>
      </c>
      <c r="E10" s="91">
        <v>2334292</v>
      </c>
      <c r="F10" s="45" t="s">
        <v>217</v>
      </c>
      <c r="G10" s="87">
        <v>1158732</v>
      </c>
      <c r="H10" s="85" t="s">
        <v>226</v>
      </c>
      <c r="I10" s="88" t="s">
        <v>215</v>
      </c>
      <c r="J10" s="89">
        <v>23000</v>
      </c>
    </row>
    <row r="11" spans="1:10">
      <c r="A11" s="84" t="s">
        <v>524</v>
      </c>
      <c r="B11" s="85" t="s">
        <v>523</v>
      </c>
      <c r="C11" s="85" t="s">
        <v>522</v>
      </c>
      <c r="D11" s="90" t="s">
        <v>521</v>
      </c>
      <c r="E11" s="45">
        <v>5987654</v>
      </c>
      <c r="F11" s="45" t="s">
        <v>217</v>
      </c>
      <c r="G11" s="87">
        <v>1285066</v>
      </c>
      <c r="H11" s="85" t="s">
        <v>226</v>
      </c>
      <c r="I11" s="88" t="s">
        <v>210</v>
      </c>
      <c r="J11" s="89">
        <v>22929</v>
      </c>
    </row>
    <row r="12" spans="1:10">
      <c r="A12" s="84" t="s">
        <v>520</v>
      </c>
      <c r="B12" s="85" t="s">
        <v>519</v>
      </c>
      <c r="C12" s="85" t="s">
        <v>518</v>
      </c>
      <c r="D12" s="90" t="s">
        <v>517</v>
      </c>
      <c r="E12" s="45">
        <v>2953010</v>
      </c>
      <c r="F12" s="45" t="s">
        <v>229</v>
      </c>
      <c r="G12" s="87">
        <v>1506149</v>
      </c>
      <c r="H12" s="85" t="s">
        <v>226</v>
      </c>
      <c r="I12" s="88" t="s">
        <v>215</v>
      </c>
      <c r="J12" s="89">
        <v>22475</v>
      </c>
    </row>
    <row r="13" spans="1:10">
      <c r="A13" s="84" t="s">
        <v>259</v>
      </c>
      <c r="B13" s="85" t="s">
        <v>516</v>
      </c>
      <c r="C13" s="85" t="s">
        <v>515</v>
      </c>
      <c r="D13" s="45" t="s">
        <v>258</v>
      </c>
      <c r="E13" s="45">
        <v>2186758</v>
      </c>
      <c r="F13" s="45" t="s">
        <v>217</v>
      </c>
      <c r="G13" s="87">
        <v>334500</v>
      </c>
      <c r="H13" s="85" t="s">
        <v>257</v>
      </c>
      <c r="I13" s="88" t="s">
        <v>215</v>
      </c>
      <c r="J13" s="89">
        <v>15128</v>
      </c>
    </row>
    <row r="14" spans="1:10">
      <c r="A14" s="84" t="s">
        <v>514</v>
      </c>
      <c r="B14" s="85" t="s">
        <v>513</v>
      </c>
      <c r="C14" s="85" t="s">
        <v>512</v>
      </c>
      <c r="D14" s="90" t="s">
        <v>511</v>
      </c>
      <c r="E14" s="45">
        <v>5552222</v>
      </c>
      <c r="F14" s="45" t="s">
        <v>229</v>
      </c>
      <c r="G14" s="87">
        <v>1221899</v>
      </c>
      <c r="H14" s="85" t="s">
        <v>257</v>
      </c>
      <c r="I14" s="88" t="s">
        <v>232</v>
      </c>
      <c r="J14" s="89">
        <v>29475</v>
      </c>
    </row>
    <row r="15" spans="1:10">
      <c r="A15" s="84" t="s">
        <v>510</v>
      </c>
      <c r="B15" s="85" t="s">
        <v>509</v>
      </c>
      <c r="C15" s="85" t="s">
        <v>508</v>
      </c>
      <c r="D15" s="85" t="s">
        <v>223</v>
      </c>
      <c r="E15" s="45">
        <v>2345678</v>
      </c>
      <c r="F15" s="45" t="s">
        <v>217</v>
      </c>
      <c r="G15" s="87">
        <v>1537733</v>
      </c>
      <c r="H15" s="85" t="s">
        <v>257</v>
      </c>
      <c r="I15" s="88" t="s">
        <v>339</v>
      </c>
      <c r="J15" s="89">
        <v>18557</v>
      </c>
    </row>
    <row r="16" spans="1:10">
      <c r="A16" s="84" t="s">
        <v>242</v>
      </c>
      <c r="B16" s="85" t="s">
        <v>507</v>
      </c>
      <c r="C16" s="85" t="s">
        <v>506</v>
      </c>
      <c r="D16" s="92" t="s">
        <v>241</v>
      </c>
      <c r="E16" s="45">
        <v>2215487</v>
      </c>
      <c r="F16" s="45" t="s">
        <v>240</v>
      </c>
      <c r="G16" s="87">
        <v>569050</v>
      </c>
      <c r="H16" s="85" t="s">
        <v>239</v>
      </c>
      <c r="I16" s="88" t="s">
        <v>210</v>
      </c>
      <c r="J16" s="89">
        <v>26475</v>
      </c>
    </row>
    <row r="17" spans="1:10">
      <c r="A17" s="84" t="s">
        <v>505</v>
      </c>
      <c r="B17" s="85" t="s">
        <v>504</v>
      </c>
      <c r="C17" s="85" t="s">
        <v>503</v>
      </c>
      <c r="D17" s="90" t="s">
        <v>502</v>
      </c>
      <c r="E17" s="45">
        <v>4442343</v>
      </c>
      <c r="F17" s="45" t="s">
        <v>229</v>
      </c>
      <c r="G17" s="87">
        <v>1379816</v>
      </c>
      <c r="H17" s="85" t="s">
        <v>239</v>
      </c>
      <c r="I17" s="88" t="s">
        <v>210</v>
      </c>
      <c r="J17" s="89">
        <v>31475</v>
      </c>
    </row>
    <row r="18" spans="1:10">
      <c r="A18" s="84" t="s">
        <v>501</v>
      </c>
      <c r="B18" s="85" t="s">
        <v>500</v>
      </c>
      <c r="C18" s="85" t="s">
        <v>499</v>
      </c>
      <c r="D18" s="90" t="s">
        <v>498</v>
      </c>
      <c r="E18" s="91">
        <v>6974095</v>
      </c>
      <c r="F18" s="45" t="s">
        <v>217</v>
      </c>
      <c r="G18" s="87">
        <v>1095565</v>
      </c>
      <c r="H18" s="85" t="s">
        <v>497</v>
      </c>
      <c r="I18" s="88" t="s">
        <v>210</v>
      </c>
      <c r="J18" s="89">
        <v>22951</v>
      </c>
    </row>
    <row r="19" spans="1:10">
      <c r="A19" s="84" t="s">
        <v>261</v>
      </c>
      <c r="B19" s="85" t="s">
        <v>300</v>
      </c>
      <c r="C19" s="85" t="s">
        <v>496</v>
      </c>
      <c r="D19" s="45" t="s">
        <v>260</v>
      </c>
      <c r="E19" s="45">
        <v>2219090</v>
      </c>
      <c r="F19" s="45" t="s">
        <v>217</v>
      </c>
      <c r="G19" s="87">
        <v>760000</v>
      </c>
      <c r="H19" s="85" t="s">
        <v>233</v>
      </c>
      <c r="I19" s="88" t="s">
        <v>232</v>
      </c>
      <c r="J19" s="89">
        <v>21287</v>
      </c>
    </row>
    <row r="20" spans="1:10">
      <c r="A20" s="84" t="s">
        <v>235</v>
      </c>
      <c r="B20" s="85" t="s">
        <v>495</v>
      </c>
      <c r="C20" s="85" t="s">
        <v>494</v>
      </c>
      <c r="D20" s="86" t="s">
        <v>234</v>
      </c>
      <c r="E20" s="45">
        <v>6215498</v>
      </c>
      <c r="F20" s="45" t="s">
        <v>217</v>
      </c>
      <c r="G20" s="87">
        <v>619950</v>
      </c>
      <c r="H20" s="85" t="s">
        <v>233</v>
      </c>
      <c r="I20" s="88" t="s">
        <v>232</v>
      </c>
      <c r="J20" s="89">
        <v>25951</v>
      </c>
    </row>
    <row r="21" spans="1:10">
      <c r="A21" s="84" t="s">
        <v>493</v>
      </c>
      <c r="B21" s="85" t="s">
        <v>492</v>
      </c>
      <c r="C21" s="85" t="s">
        <v>491</v>
      </c>
      <c r="D21" s="85" t="s">
        <v>289</v>
      </c>
      <c r="E21" s="90">
        <v>6355555</v>
      </c>
      <c r="F21" s="45" t="s">
        <v>217</v>
      </c>
      <c r="G21" s="87">
        <v>1028964</v>
      </c>
      <c r="H21" s="85" t="s">
        <v>233</v>
      </c>
      <c r="I21" s="88" t="s">
        <v>248</v>
      </c>
      <c r="J21" s="89">
        <v>20951</v>
      </c>
    </row>
    <row r="22" spans="1:10">
      <c r="A22" s="84" t="s">
        <v>490</v>
      </c>
      <c r="B22" s="85" t="s">
        <v>20</v>
      </c>
      <c r="C22" s="85" t="s">
        <v>489</v>
      </c>
      <c r="D22" s="90" t="s">
        <v>279</v>
      </c>
      <c r="E22" s="45">
        <v>5553330</v>
      </c>
      <c r="F22" s="45" t="s">
        <v>236</v>
      </c>
      <c r="G22" s="87">
        <v>1183481</v>
      </c>
      <c r="H22" s="85" t="s">
        <v>233</v>
      </c>
      <c r="I22" s="88" t="s">
        <v>248</v>
      </c>
      <c r="J22" s="89">
        <v>21000</v>
      </c>
    </row>
    <row r="23" spans="1:10">
      <c r="A23" s="84" t="s">
        <v>488</v>
      </c>
      <c r="B23" s="85" t="s">
        <v>487</v>
      </c>
      <c r="C23" s="85" t="s">
        <v>486</v>
      </c>
      <c r="D23" s="90" t="s">
        <v>485</v>
      </c>
      <c r="E23" s="45">
        <v>5554640</v>
      </c>
      <c r="F23" s="45" t="s">
        <v>229</v>
      </c>
      <c r="G23" s="87">
        <v>1442983</v>
      </c>
      <c r="H23" s="85" t="s">
        <v>233</v>
      </c>
      <c r="I23" s="88" t="s">
        <v>232</v>
      </c>
      <c r="J23" s="89">
        <v>33000</v>
      </c>
    </row>
    <row r="24" spans="1:10">
      <c r="A24" s="84" t="s">
        <v>484</v>
      </c>
      <c r="B24" s="85" t="s">
        <v>483</v>
      </c>
      <c r="C24" s="85" t="s">
        <v>482</v>
      </c>
      <c r="D24" s="90" t="s">
        <v>481</v>
      </c>
      <c r="E24" s="45">
        <v>8713047</v>
      </c>
      <c r="F24" s="45" t="s">
        <v>217</v>
      </c>
      <c r="G24" s="87">
        <v>1474566</v>
      </c>
      <c r="H24" s="85" t="s">
        <v>233</v>
      </c>
      <c r="I24" s="88" t="s">
        <v>248</v>
      </c>
      <c r="J24" s="89">
        <v>22951</v>
      </c>
    </row>
    <row r="25" spans="1:10">
      <c r="A25" s="84" t="s">
        <v>480</v>
      </c>
      <c r="B25" s="85" t="s">
        <v>479</v>
      </c>
      <c r="C25" s="85" t="s">
        <v>478</v>
      </c>
      <c r="D25" s="85" t="s">
        <v>213</v>
      </c>
      <c r="E25" s="45">
        <v>5558787</v>
      </c>
      <c r="F25" s="45" t="s">
        <v>217</v>
      </c>
      <c r="G25" s="87">
        <v>1632483</v>
      </c>
      <c r="H25" s="85" t="s">
        <v>233</v>
      </c>
      <c r="I25" s="88" t="s">
        <v>232</v>
      </c>
      <c r="J25" s="89">
        <v>36122</v>
      </c>
    </row>
    <row r="26" spans="1:10">
      <c r="A26" s="84" t="s">
        <v>245</v>
      </c>
      <c r="B26" s="85" t="s">
        <v>365</v>
      </c>
      <c r="C26" s="85" t="s">
        <v>477</v>
      </c>
      <c r="D26" s="86" t="s">
        <v>244</v>
      </c>
      <c r="E26" s="45">
        <v>3812488</v>
      </c>
      <c r="F26" s="45" t="s">
        <v>240</v>
      </c>
      <c r="G26" s="87">
        <v>543600</v>
      </c>
      <c r="H26" s="85" t="s">
        <v>243</v>
      </c>
      <c r="I26" s="88" t="s">
        <v>215</v>
      </c>
      <c r="J26" s="89">
        <v>22018</v>
      </c>
    </row>
    <row r="27" spans="1:10">
      <c r="A27" s="84" t="s">
        <v>476</v>
      </c>
      <c r="B27" s="85" t="s">
        <v>464</v>
      </c>
      <c r="C27" s="85" t="s">
        <v>475</v>
      </c>
      <c r="D27" s="90" t="s">
        <v>474</v>
      </c>
      <c r="E27" s="91">
        <v>6929872</v>
      </c>
      <c r="F27" s="45" t="s">
        <v>229</v>
      </c>
      <c r="G27" s="87">
        <v>843544</v>
      </c>
      <c r="H27" s="85" t="s">
        <v>243</v>
      </c>
      <c r="I27" s="88" t="s">
        <v>339</v>
      </c>
      <c r="J27" s="89">
        <v>28000</v>
      </c>
    </row>
    <row r="28" spans="1:10">
      <c r="A28" s="84" t="s">
        <v>473</v>
      </c>
      <c r="B28" s="85" t="s">
        <v>472</v>
      </c>
      <c r="C28" s="85" t="s">
        <v>471</v>
      </c>
      <c r="D28" s="90" t="s">
        <v>470</v>
      </c>
      <c r="E28" s="91">
        <v>6408500</v>
      </c>
      <c r="F28" s="45" t="s">
        <v>217</v>
      </c>
      <c r="G28" s="87">
        <v>1127148</v>
      </c>
      <c r="H28" s="85" t="s">
        <v>243</v>
      </c>
      <c r="I28" s="88" t="s">
        <v>248</v>
      </c>
      <c r="J28" s="89">
        <v>21000</v>
      </c>
    </row>
    <row r="29" spans="1:10">
      <c r="A29" s="84" t="s">
        <v>469</v>
      </c>
      <c r="B29" s="85" t="s">
        <v>468</v>
      </c>
      <c r="C29" s="85" t="s">
        <v>467</v>
      </c>
      <c r="D29" s="85" t="s">
        <v>466</v>
      </c>
      <c r="E29" s="90">
        <v>8601531</v>
      </c>
      <c r="F29" s="45" t="s">
        <v>229</v>
      </c>
      <c r="G29" s="87">
        <v>874447</v>
      </c>
      <c r="H29" s="85" t="s">
        <v>445</v>
      </c>
      <c r="I29" s="88" t="s">
        <v>339</v>
      </c>
      <c r="J29" s="89">
        <v>23951</v>
      </c>
    </row>
    <row r="30" spans="1:10">
      <c r="A30" s="84" t="s">
        <v>465</v>
      </c>
      <c r="B30" s="85" t="s">
        <v>464</v>
      </c>
      <c r="C30" s="85" t="s">
        <v>463</v>
      </c>
      <c r="D30" s="90" t="s">
        <v>462</v>
      </c>
      <c r="E30" s="91">
        <v>6791000</v>
      </c>
      <c r="F30" s="45" t="s">
        <v>229</v>
      </c>
      <c r="G30" s="87">
        <v>645400</v>
      </c>
      <c r="H30" s="85" t="s">
        <v>445</v>
      </c>
      <c r="I30" s="88" t="s">
        <v>210</v>
      </c>
      <c r="J30" s="89">
        <v>23622</v>
      </c>
    </row>
    <row r="31" spans="1:10">
      <c r="A31" s="84" t="s">
        <v>461</v>
      </c>
      <c r="B31" s="85" t="s">
        <v>460</v>
      </c>
      <c r="C31" s="85" t="s">
        <v>459</v>
      </c>
      <c r="D31" s="90" t="s">
        <v>458</v>
      </c>
      <c r="E31" s="91">
        <v>6641581</v>
      </c>
      <c r="F31" s="45" t="s">
        <v>217</v>
      </c>
      <c r="G31" s="87">
        <v>874447</v>
      </c>
      <c r="H31" s="85" t="s">
        <v>445</v>
      </c>
      <c r="I31" s="88" t="s">
        <v>248</v>
      </c>
      <c r="J31" s="89">
        <v>32000</v>
      </c>
    </row>
    <row r="32" spans="1:10">
      <c r="A32" s="84" t="s">
        <v>457</v>
      </c>
      <c r="B32" s="85" t="s">
        <v>102</v>
      </c>
      <c r="C32" s="85" t="s">
        <v>456</v>
      </c>
      <c r="D32" s="90" t="s">
        <v>381</v>
      </c>
      <c r="E32" s="91">
        <v>6726464</v>
      </c>
      <c r="F32" s="45" t="s">
        <v>217</v>
      </c>
      <c r="G32" s="87">
        <v>936254</v>
      </c>
      <c r="H32" s="85" t="s">
        <v>445</v>
      </c>
      <c r="I32" s="88" t="s">
        <v>248</v>
      </c>
      <c r="J32" s="89">
        <v>35475</v>
      </c>
    </row>
    <row r="33" spans="1:10">
      <c r="A33" s="84" t="s">
        <v>455</v>
      </c>
      <c r="B33" s="85" t="s">
        <v>454</v>
      </c>
      <c r="C33" s="85" t="s">
        <v>446</v>
      </c>
      <c r="D33" s="90" t="s">
        <v>453</v>
      </c>
      <c r="E33" s="91">
        <v>3644405</v>
      </c>
      <c r="F33" s="45" t="s">
        <v>217</v>
      </c>
      <c r="G33" s="87">
        <v>1032398</v>
      </c>
      <c r="H33" s="85" t="s">
        <v>445</v>
      </c>
      <c r="I33" s="88" t="s">
        <v>248</v>
      </c>
      <c r="J33" s="89">
        <v>21475</v>
      </c>
    </row>
    <row r="34" spans="1:10">
      <c r="A34" s="84" t="s">
        <v>452</v>
      </c>
      <c r="B34" s="85" t="s">
        <v>451</v>
      </c>
      <c r="C34" s="85" t="s">
        <v>450</v>
      </c>
      <c r="D34" s="90" t="s">
        <v>449</v>
      </c>
      <c r="E34" s="45">
        <v>5554822</v>
      </c>
      <c r="F34" s="45" t="s">
        <v>229</v>
      </c>
      <c r="G34" s="87">
        <v>1253482</v>
      </c>
      <c r="H34" s="85" t="s">
        <v>445</v>
      </c>
      <c r="I34" s="88" t="s">
        <v>339</v>
      </c>
      <c r="J34" s="89">
        <v>19762</v>
      </c>
    </row>
    <row r="35" spans="1:10">
      <c r="A35" s="84" t="s">
        <v>448</v>
      </c>
      <c r="B35" s="85" t="s">
        <v>447</v>
      </c>
      <c r="C35" s="85" t="s">
        <v>446</v>
      </c>
      <c r="D35" s="85" t="s">
        <v>221</v>
      </c>
      <c r="E35" s="45">
        <v>3830068</v>
      </c>
      <c r="F35" s="45" t="s">
        <v>217</v>
      </c>
      <c r="G35" s="87">
        <v>1569316</v>
      </c>
      <c r="H35" s="85" t="s">
        <v>445</v>
      </c>
      <c r="I35" s="88" t="s">
        <v>339</v>
      </c>
      <c r="J35" s="89">
        <v>22000</v>
      </c>
    </row>
    <row r="36" spans="1:10">
      <c r="A36" s="84" t="s">
        <v>267</v>
      </c>
      <c r="B36" s="85" t="s">
        <v>444</v>
      </c>
      <c r="C36" s="85" t="s">
        <v>443</v>
      </c>
      <c r="D36" s="45" t="s">
        <v>266</v>
      </c>
      <c r="E36" s="45">
        <v>2214590</v>
      </c>
      <c r="F36" s="45" t="s">
        <v>240</v>
      </c>
      <c r="G36" s="87">
        <v>190000</v>
      </c>
      <c r="H36" s="85" t="s">
        <v>252</v>
      </c>
      <c r="I36" s="88" t="s">
        <v>210</v>
      </c>
      <c r="J36" s="89">
        <v>22487</v>
      </c>
    </row>
    <row r="37" spans="1:10">
      <c r="A37" s="84" t="s">
        <v>265</v>
      </c>
      <c r="B37" s="85" t="s">
        <v>442</v>
      </c>
      <c r="C37" s="85" t="s">
        <v>441</v>
      </c>
      <c r="D37" s="45" t="s">
        <v>264</v>
      </c>
      <c r="E37" s="45">
        <v>8732652</v>
      </c>
      <c r="F37" s="45" t="s">
        <v>236</v>
      </c>
      <c r="G37" s="87">
        <v>300000</v>
      </c>
      <c r="H37" s="85" t="s">
        <v>252</v>
      </c>
      <c r="I37" s="88" t="s">
        <v>210</v>
      </c>
      <c r="J37" s="89">
        <v>27258</v>
      </c>
    </row>
    <row r="38" spans="1:10">
      <c r="A38" s="84" t="s">
        <v>263</v>
      </c>
      <c r="B38" s="85" t="s">
        <v>307</v>
      </c>
      <c r="C38" s="85" t="s">
        <v>440</v>
      </c>
      <c r="D38" s="45" t="s">
        <v>262</v>
      </c>
      <c r="E38" s="45">
        <v>2279012</v>
      </c>
      <c r="F38" s="45" t="s">
        <v>212</v>
      </c>
      <c r="G38" s="87">
        <v>200000</v>
      </c>
      <c r="H38" s="85" t="s">
        <v>252</v>
      </c>
      <c r="I38" s="88" t="s">
        <v>232</v>
      </c>
      <c r="J38" s="89">
        <v>18879</v>
      </c>
    </row>
    <row r="39" spans="1:10">
      <c r="A39" s="84" t="s">
        <v>254</v>
      </c>
      <c r="B39" s="85" t="s">
        <v>439</v>
      </c>
      <c r="C39" s="85" t="s">
        <v>438</v>
      </c>
      <c r="D39" s="86" t="s">
        <v>253</v>
      </c>
      <c r="E39" s="45">
        <v>3258451</v>
      </c>
      <c r="F39" s="45" t="s">
        <v>236</v>
      </c>
      <c r="G39" s="87">
        <v>467250</v>
      </c>
      <c r="H39" s="85" t="s">
        <v>252</v>
      </c>
      <c r="I39" s="88" t="s">
        <v>210</v>
      </c>
      <c r="J39" s="89">
        <v>20362</v>
      </c>
    </row>
    <row r="40" spans="1:10">
      <c r="A40" s="84" t="s">
        <v>437</v>
      </c>
      <c r="B40" s="85" t="s">
        <v>436</v>
      </c>
      <c r="C40" s="85" t="s">
        <v>435</v>
      </c>
      <c r="D40" s="90" t="s">
        <v>434</v>
      </c>
      <c r="E40" s="45">
        <v>3198765</v>
      </c>
      <c r="F40" s="45" t="s">
        <v>229</v>
      </c>
      <c r="G40" s="87">
        <v>1695650</v>
      </c>
      <c r="H40" s="85" t="s">
        <v>252</v>
      </c>
      <c r="I40" s="88" t="s">
        <v>210</v>
      </c>
      <c r="J40" s="89">
        <v>21845</v>
      </c>
    </row>
    <row r="41" spans="1:10">
      <c r="A41" s="84" t="s">
        <v>271</v>
      </c>
      <c r="B41" s="85" t="s">
        <v>433</v>
      </c>
      <c r="C41" s="85" t="s">
        <v>432</v>
      </c>
      <c r="D41" s="45" t="s">
        <v>270</v>
      </c>
      <c r="E41" s="45">
        <v>2336758</v>
      </c>
      <c r="F41" s="45" t="s">
        <v>229</v>
      </c>
      <c r="G41" s="87">
        <v>250000</v>
      </c>
      <c r="H41" s="85" t="s">
        <v>216</v>
      </c>
      <c r="I41" s="88" t="s">
        <v>225</v>
      </c>
      <c r="J41" s="89">
        <v>23328</v>
      </c>
    </row>
    <row r="42" spans="1:10">
      <c r="A42" s="84" t="s">
        <v>231</v>
      </c>
      <c r="B42" s="85" t="s">
        <v>431</v>
      </c>
      <c r="C42" s="85" t="s">
        <v>430</v>
      </c>
      <c r="D42" s="86" t="s">
        <v>230</v>
      </c>
      <c r="E42" s="45">
        <v>3265987</v>
      </c>
      <c r="F42" s="45" t="s">
        <v>229</v>
      </c>
      <c r="G42" s="87">
        <v>645400</v>
      </c>
      <c r="H42" s="85" t="s">
        <v>216</v>
      </c>
      <c r="I42" s="88" t="s">
        <v>225</v>
      </c>
      <c r="J42" s="89">
        <v>24811</v>
      </c>
    </row>
    <row r="43" spans="1:10">
      <c r="A43" s="84" t="s">
        <v>224</v>
      </c>
      <c r="B43" s="85" t="s">
        <v>429</v>
      </c>
      <c r="C43" s="85" t="s">
        <v>428</v>
      </c>
      <c r="D43" s="85" t="s">
        <v>223</v>
      </c>
      <c r="E43" s="90">
        <v>5554729</v>
      </c>
      <c r="F43" s="45" t="s">
        <v>217</v>
      </c>
      <c r="G43" s="87">
        <v>719931</v>
      </c>
      <c r="H43" s="85" t="s">
        <v>216</v>
      </c>
      <c r="I43" s="88" t="s">
        <v>215</v>
      </c>
      <c r="J43" s="89">
        <v>26294</v>
      </c>
    </row>
    <row r="44" spans="1:10">
      <c r="A44" s="84" t="s">
        <v>219</v>
      </c>
      <c r="B44" s="85" t="s">
        <v>427</v>
      </c>
      <c r="C44" s="85" t="s">
        <v>426</v>
      </c>
      <c r="D44" s="85" t="s">
        <v>218</v>
      </c>
      <c r="E44" s="90">
        <v>5557788</v>
      </c>
      <c r="F44" s="45" t="s">
        <v>217</v>
      </c>
      <c r="G44" s="87">
        <v>781737</v>
      </c>
      <c r="H44" s="85" t="s">
        <v>216</v>
      </c>
      <c r="I44" s="88" t="s">
        <v>215</v>
      </c>
      <c r="J44" s="89">
        <v>27777</v>
      </c>
    </row>
    <row r="45" spans="1:10">
      <c r="A45" s="84" t="s">
        <v>425</v>
      </c>
      <c r="B45" s="85" t="s">
        <v>424</v>
      </c>
      <c r="C45" s="85" t="s">
        <v>423</v>
      </c>
      <c r="D45" s="85" t="s">
        <v>286</v>
      </c>
      <c r="E45" s="90">
        <v>5553392</v>
      </c>
      <c r="F45" s="45" t="s">
        <v>217</v>
      </c>
      <c r="G45" s="87">
        <v>1059867</v>
      </c>
      <c r="H45" s="85" t="s">
        <v>216</v>
      </c>
      <c r="I45" s="88" t="s">
        <v>210</v>
      </c>
      <c r="J45" s="89">
        <v>29260</v>
      </c>
    </row>
    <row r="46" spans="1:10">
      <c r="A46" s="84" t="s">
        <v>422</v>
      </c>
      <c r="B46" s="85" t="s">
        <v>421</v>
      </c>
      <c r="C46" s="85" t="s">
        <v>420</v>
      </c>
      <c r="D46" s="90" t="s">
        <v>419</v>
      </c>
      <c r="E46" s="91">
        <v>6394063</v>
      </c>
      <c r="F46" s="45" t="s">
        <v>229</v>
      </c>
      <c r="G46" s="87">
        <v>781737</v>
      </c>
      <c r="H46" s="85" t="s">
        <v>216</v>
      </c>
      <c r="I46" s="88" t="s">
        <v>215</v>
      </c>
      <c r="J46" s="89">
        <v>30744</v>
      </c>
    </row>
    <row r="47" spans="1:10">
      <c r="A47" s="84" t="s">
        <v>418</v>
      </c>
      <c r="B47" s="85" t="s">
        <v>417</v>
      </c>
      <c r="C47" s="85" t="s">
        <v>416</v>
      </c>
      <c r="D47" s="90" t="s">
        <v>415</v>
      </c>
      <c r="E47" s="91">
        <v>6821602</v>
      </c>
      <c r="F47" s="45" t="s">
        <v>217</v>
      </c>
      <c r="G47" s="87">
        <v>812641</v>
      </c>
      <c r="H47" s="85" t="s">
        <v>216</v>
      </c>
      <c r="I47" s="88" t="s">
        <v>210</v>
      </c>
      <c r="J47" s="89">
        <v>32227</v>
      </c>
    </row>
    <row r="48" spans="1:10">
      <c r="A48" s="84" t="s">
        <v>414</v>
      </c>
      <c r="B48" s="85" t="s">
        <v>413</v>
      </c>
      <c r="C48" s="85" t="s">
        <v>412</v>
      </c>
      <c r="D48" s="90" t="s">
        <v>411</v>
      </c>
      <c r="E48" s="45">
        <v>3555001</v>
      </c>
      <c r="F48" s="45" t="s">
        <v>217</v>
      </c>
      <c r="G48" s="87">
        <v>1316649</v>
      </c>
      <c r="H48" s="85" t="s">
        <v>216</v>
      </c>
      <c r="I48" s="88" t="s">
        <v>215</v>
      </c>
      <c r="J48" s="89">
        <v>22752</v>
      </c>
    </row>
    <row r="49" spans="1:10">
      <c r="A49" s="84" t="s">
        <v>410</v>
      </c>
      <c r="B49" s="85" t="s">
        <v>409</v>
      </c>
      <c r="C49" s="85" t="s">
        <v>408</v>
      </c>
      <c r="D49" s="90" t="s">
        <v>407</v>
      </c>
      <c r="E49" s="91">
        <v>6966633</v>
      </c>
      <c r="F49" s="45" t="s">
        <v>217</v>
      </c>
      <c r="G49" s="87">
        <v>689027</v>
      </c>
      <c r="H49" s="85" t="s">
        <v>406</v>
      </c>
      <c r="I49" s="88" t="s">
        <v>215</v>
      </c>
      <c r="J49" s="89">
        <v>35193</v>
      </c>
    </row>
    <row r="50" spans="1:10">
      <c r="A50" s="84" t="s">
        <v>405</v>
      </c>
      <c r="B50" s="85" t="s">
        <v>404</v>
      </c>
      <c r="C50" s="85" t="s">
        <v>403</v>
      </c>
      <c r="D50" s="90" t="s">
        <v>287</v>
      </c>
      <c r="E50" s="90">
        <v>5557647</v>
      </c>
      <c r="F50" s="45" t="s">
        <v>236</v>
      </c>
      <c r="G50" s="87">
        <v>1121674</v>
      </c>
      <c r="H50" s="85" t="s">
        <v>280</v>
      </c>
      <c r="I50" s="88" t="s">
        <v>232</v>
      </c>
      <c r="J50" s="89">
        <v>17475</v>
      </c>
    </row>
    <row r="51" spans="1:10">
      <c r="A51" s="84" t="s">
        <v>402</v>
      </c>
      <c r="B51" s="85" t="s">
        <v>401</v>
      </c>
      <c r="C51" s="85" t="s">
        <v>400</v>
      </c>
      <c r="D51" s="90" t="s">
        <v>399</v>
      </c>
      <c r="E51" s="91">
        <v>6702299</v>
      </c>
      <c r="F51" s="45" t="s">
        <v>229</v>
      </c>
      <c r="G51" s="87">
        <v>1063982</v>
      </c>
      <c r="H51" s="85" t="s">
        <v>280</v>
      </c>
      <c r="I51" s="88" t="s">
        <v>339</v>
      </c>
      <c r="J51" s="89">
        <v>32475</v>
      </c>
    </row>
    <row r="52" spans="1:10">
      <c r="A52" s="84" t="s">
        <v>398</v>
      </c>
      <c r="B52" s="85" t="s">
        <v>397</v>
      </c>
      <c r="C52" s="85" t="s">
        <v>396</v>
      </c>
      <c r="D52" s="85" t="s">
        <v>218</v>
      </c>
      <c r="E52" s="45">
        <v>4384410</v>
      </c>
      <c r="F52" s="45" t="s">
        <v>217</v>
      </c>
      <c r="G52" s="87">
        <v>1600900</v>
      </c>
      <c r="H52" s="85" t="s">
        <v>280</v>
      </c>
      <c r="I52" s="88" t="s">
        <v>210</v>
      </c>
      <c r="J52" s="89">
        <v>23000</v>
      </c>
    </row>
    <row r="53" spans="1:10">
      <c r="A53" s="84" t="s">
        <v>214</v>
      </c>
      <c r="B53" s="85" t="s">
        <v>306</v>
      </c>
      <c r="C53" s="85" t="s">
        <v>395</v>
      </c>
      <c r="D53" s="85" t="s">
        <v>213</v>
      </c>
      <c r="E53" s="90">
        <v>8212345</v>
      </c>
      <c r="F53" s="45" t="s">
        <v>212</v>
      </c>
      <c r="G53" s="87">
        <v>812641</v>
      </c>
      <c r="H53" s="85" t="s">
        <v>211</v>
      </c>
      <c r="I53" s="88" t="s">
        <v>210</v>
      </c>
      <c r="J53" s="89">
        <v>24000</v>
      </c>
    </row>
    <row r="54" spans="1:10">
      <c r="A54" s="84" t="s">
        <v>394</v>
      </c>
      <c r="B54" s="85" t="s">
        <v>393</v>
      </c>
      <c r="C54" s="85" t="s">
        <v>392</v>
      </c>
      <c r="D54" s="85" t="s">
        <v>276</v>
      </c>
      <c r="E54" s="90">
        <v>6210844</v>
      </c>
      <c r="F54" s="45" t="s">
        <v>212</v>
      </c>
      <c r="G54" s="87">
        <v>843544</v>
      </c>
      <c r="H54" s="85" t="s">
        <v>211</v>
      </c>
      <c r="I54" s="88" t="s">
        <v>210</v>
      </c>
      <c r="J54" s="89">
        <v>24475</v>
      </c>
    </row>
    <row r="55" spans="1:10">
      <c r="A55" s="84" t="s">
        <v>391</v>
      </c>
      <c r="B55" s="85" t="s">
        <v>390</v>
      </c>
      <c r="C55" s="85" t="s">
        <v>389</v>
      </c>
      <c r="D55" s="90" t="s">
        <v>388</v>
      </c>
      <c r="E55" s="90">
        <v>5552282</v>
      </c>
      <c r="F55" s="45" t="s">
        <v>217</v>
      </c>
      <c r="G55" s="87">
        <v>1152577</v>
      </c>
      <c r="H55" s="85" t="s">
        <v>211</v>
      </c>
      <c r="I55" s="88" t="s">
        <v>232</v>
      </c>
      <c r="J55" s="89">
        <v>34475</v>
      </c>
    </row>
    <row r="56" spans="1:10">
      <c r="A56" s="84" t="s">
        <v>387</v>
      </c>
      <c r="B56" s="85" t="s">
        <v>101</v>
      </c>
      <c r="C56" s="85" t="s">
        <v>386</v>
      </c>
      <c r="D56" s="90" t="s">
        <v>385</v>
      </c>
      <c r="E56" s="45">
        <v>4317877</v>
      </c>
      <c r="F56" s="45" t="s">
        <v>229</v>
      </c>
      <c r="G56" s="87">
        <v>1348232</v>
      </c>
      <c r="H56" s="85" t="s">
        <v>211</v>
      </c>
      <c r="I56" s="88" t="s">
        <v>232</v>
      </c>
      <c r="J56" s="89">
        <v>34000</v>
      </c>
    </row>
    <row r="57" spans="1:10">
      <c r="A57" s="84" t="s">
        <v>384</v>
      </c>
      <c r="B57" s="85" t="s">
        <v>383</v>
      </c>
      <c r="C57" s="85" t="s">
        <v>382</v>
      </c>
      <c r="D57" s="90" t="s">
        <v>381</v>
      </c>
      <c r="E57" s="45">
        <v>2214822</v>
      </c>
      <c r="F57" s="45" t="s">
        <v>217</v>
      </c>
      <c r="G57" s="87">
        <v>1727233</v>
      </c>
      <c r="H57" s="85" t="s">
        <v>380</v>
      </c>
      <c r="I57" s="88" t="s">
        <v>248</v>
      </c>
      <c r="J57" s="89">
        <v>31000</v>
      </c>
    </row>
    <row r="58" spans="1:10">
      <c r="A58" s="84" t="s">
        <v>379</v>
      </c>
      <c r="B58" s="85" t="s">
        <v>378</v>
      </c>
      <c r="C58" s="85" t="s">
        <v>377</v>
      </c>
      <c r="D58" s="90" t="s">
        <v>376</v>
      </c>
      <c r="E58" s="45">
        <v>2833934</v>
      </c>
      <c r="F58" s="45" t="s">
        <v>236</v>
      </c>
      <c r="G58" s="87">
        <v>1214384</v>
      </c>
      <c r="H58" s="85" t="s">
        <v>288</v>
      </c>
      <c r="I58" s="88" t="s">
        <v>248</v>
      </c>
      <c r="J58" s="89">
        <v>22000</v>
      </c>
    </row>
    <row r="59" spans="1:10">
      <c r="A59" s="84" t="s">
        <v>375</v>
      </c>
      <c r="B59" s="85" t="s">
        <v>374</v>
      </c>
      <c r="C59" s="85" t="s">
        <v>33</v>
      </c>
      <c r="D59" s="90" t="s">
        <v>373</v>
      </c>
      <c r="E59" s="45">
        <v>5554448</v>
      </c>
      <c r="F59" s="45" t="s">
        <v>229</v>
      </c>
      <c r="G59" s="87">
        <v>1411399</v>
      </c>
      <c r="H59" s="85" t="s">
        <v>288</v>
      </c>
      <c r="I59" s="88" t="s">
        <v>232</v>
      </c>
      <c r="J59" s="89">
        <v>23000</v>
      </c>
    </row>
    <row r="60" spans="1:10">
      <c r="A60" s="84" t="s">
        <v>256</v>
      </c>
      <c r="B60" s="85" t="s">
        <v>372</v>
      </c>
      <c r="C60" s="85" t="s">
        <v>371</v>
      </c>
      <c r="D60" s="45" t="s">
        <v>255</v>
      </c>
      <c r="E60" s="45">
        <v>8512345</v>
      </c>
      <c r="F60" s="45" t="s">
        <v>240</v>
      </c>
      <c r="G60" s="87">
        <v>360000</v>
      </c>
      <c r="H60" s="85" t="s">
        <v>220</v>
      </c>
      <c r="I60" s="88" t="s">
        <v>248</v>
      </c>
      <c r="J60" s="89">
        <v>14983</v>
      </c>
    </row>
    <row r="61" spans="1:10">
      <c r="A61" s="84" t="s">
        <v>238</v>
      </c>
      <c r="B61" s="85" t="s">
        <v>370</v>
      </c>
      <c r="C61" s="85" t="s">
        <v>369</v>
      </c>
      <c r="D61" s="86" t="s">
        <v>237</v>
      </c>
      <c r="E61" s="45">
        <v>2215487</v>
      </c>
      <c r="F61" s="45" t="s">
        <v>236</v>
      </c>
      <c r="G61" s="87">
        <v>594500</v>
      </c>
      <c r="H61" s="85" t="s">
        <v>220</v>
      </c>
      <c r="I61" s="88" t="s">
        <v>232</v>
      </c>
      <c r="J61" s="89">
        <v>16466</v>
      </c>
    </row>
    <row r="62" spans="1:10">
      <c r="A62" s="84" t="s">
        <v>222</v>
      </c>
      <c r="B62" s="85" t="s">
        <v>368</v>
      </c>
      <c r="C62" s="85" t="s">
        <v>367</v>
      </c>
      <c r="D62" s="85" t="s">
        <v>221</v>
      </c>
      <c r="E62" s="90">
        <v>5553932</v>
      </c>
      <c r="F62" s="45" t="s">
        <v>217</v>
      </c>
      <c r="G62" s="87">
        <v>750834</v>
      </c>
      <c r="H62" s="85" t="s">
        <v>220</v>
      </c>
      <c r="I62" s="88" t="s">
        <v>215</v>
      </c>
      <c r="J62" s="89">
        <v>17949</v>
      </c>
    </row>
    <row r="63" spans="1:10">
      <c r="A63" s="84" t="s">
        <v>366</v>
      </c>
      <c r="B63" s="85" t="s">
        <v>365</v>
      </c>
      <c r="C63" s="85" t="s">
        <v>364</v>
      </c>
      <c r="D63" s="85" t="s">
        <v>363</v>
      </c>
      <c r="E63" s="90">
        <v>2445401</v>
      </c>
      <c r="F63" s="45" t="s">
        <v>217</v>
      </c>
      <c r="G63" s="87">
        <v>936254</v>
      </c>
      <c r="H63" s="85" t="s">
        <v>220</v>
      </c>
      <c r="I63" s="88" t="s">
        <v>339</v>
      </c>
      <c r="J63" s="89">
        <v>19433</v>
      </c>
    </row>
    <row r="64" spans="1:10">
      <c r="A64" s="84" t="s">
        <v>362</v>
      </c>
      <c r="B64" s="85" t="s">
        <v>361</v>
      </c>
      <c r="C64" s="85" t="s">
        <v>360</v>
      </c>
      <c r="D64" s="90" t="s">
        <v>359</v>
      </c>
      <c r="E64" s="91">
        <v>3383000</v>
      </c>
      <c r="F64" s="45" t="s">
        <v>229</v>
      </c>
      <c r="G64" s="87">
        <v>719931</v>
      </c>
      <c r="H64" s="85" t="s">
        <v>220</v>
      </c>
      <c r="I64" s="88" t="s">
        <v>248</v>
      </c>
      <c r="J64" s="89">
        <v>20916</v>
      </c>
    </row>
    <row r="65" spans="1:10">
      <c r="A65" s="84" t="s">
        <v>358</v>
      </c>
      <c r="B65" s="85" t="s">
        <v>357</v>
      </c>
      <c r="C65" s="85" t="s">
        <v>356</v>
      </c>
      <c r="D65" s="90" t="s">
        <v>355</v>
      </c>
      <c r="E65" s="91">
        <v>6821602</v>
      </c>
      <c r="F65" s="45" t="s">
        <v>217</v>
      </c>
      <c r="G65" s="87">
        <v>1190315</v>
      </c>
      <c r="H65" s="85" t="s">
        <v>220</v>
      </c>
      <c r="I65" s="88" t="s">
        <v>339</v>
      </c>
      <c r="J65" s="89">
        <v>22399</v>
      </c>
    </row>
    <row r="66" spans="1:10">
      <c r="A66" s="84" t="s">
        <v>269</v>
      </c>
      <c r="B66" s="85" t="s">
        <v>354</v>
      </c>
      <c r="C66" s="85" t="s">
        <v>353</v>
      </c>
      <c r="D66" s="45" t="s">
        <v>268</v>
      </c>
      <c r="E66" s="45">
        <v>2213490</v>
      </c>
      <c r="F66" s="45" t="s">
        <v>236</v>
      </c>
      <c r="G66" s="87">
        <v>234700</v>
      </c>
      <c r="H66" s="85" t="s">
        <v>249</v>
      </c>
      <c r="I66" s="88" t="s">
        <v>210</v>
      </c>
      <c r="J66" s="89">
        <v>23882</v>
      </c>
    </row>
    <row r="67" spans="1:10">
      <c r="A67" s="84" t="s">
        <v>251</v>
      </c>
      <c r="B67" s="85" t="s">
        <v>352</v>
      </c>
      <c r="C67" s="85" t="s">
        <v>351</v>
      </c>
      <c r="D67" s="86" t="s">
        <v>250</v>
      </c>
      <c r="E67" s="45">
        <v>6326587</v>
      </c>
      <c r="F67" s="45" t="s">
        <v>236</v>
      </c>
      <c r="G67" s="87">
        <v>492700</v>
      </c>
      <c r="H67" s="85" t="s">
        <v>249</v>
      </c>
      <c r="I67" s="88" t="s">
        <v>248</v>
      </c>
      <c r="J67" s="89">
        <v>24269</v>
      </c>
    </row>
    <row r="68" spans="1:10">
      <c r="A68" s="84" t="s">
        <v>350</v>
      </c>
      <c r="B68" s="85" t="s">
        <v>349</v>
      </c>
      <c r="C68" s="85" t="s">
        <v>348</v>
      </c>
      <c r="D68" s="85" t="s">
        <v>285</v>
      </c>
      <c r="E68" s="90">
        <v>5554729</v>
      </c>
      <c r="F68" s="45" t="s">
        <v>212</v>
      </c>
      <c r="G68" s="87">
        <v>967157</v>
      </c>
      <c r="H68" s="85" t="s">
        <v>277</v>
      </c>
      <c r="I68" s="88" t="s">
        <v>248</v>
      </c>
      <c r="J68" s="89">
        <v>26848</v>
      </c>
    </row>
    <row r="69" spans="1:10">
      <c r="A69" s="84" t="s">
        <v>347</v>
      </c>
      <c r="B69" s="85" t="s">
        <v>346</v>
      </c>
      <c r="C69" s="85" t="s">
        <v>345</v>
      </c>
      <c r="D69" s="85" t="s">
        <v>276</v>
      </c>
      <c r="E69" s="45">
        <v>3451212</v>
      </c>
      <c r="F69" s="45" t="s">
        <v>229</v>
      </c>
      <c r="G69" s="87">
        <v>1664066</v>
      </c>
      <c r="H69" s="85" t="s">
        <v>277</v>
      </c>
      <c r="I69" s="88" t="s">
        <v>248</v>
      </c>
      <c r="J69" s="89">
        <v>28331</v>
      </c>
    </row>
    <row r="70" spans="1:10">
      <c r="A70" s="84" t="s">
        <v>344</v>
      </c>
      <c r="B70" s="85" t="s">
        <v>303</v>
      </c>
      <c r="C70" s="85" t="s">
        <v>343</v>
      </c>
      <c r="D70" s="90" t="s">
        <v>278</v>
      </c>
      <c r="E70" s="90">
        <v>4520764</v>
      </c>
      <c r="F70" s="45" t="s">
        <v>236</v>
      </c>
      <c r="G70" s="87">
        <v>1090771</v>
      </c>
      <c r="H70" s="85" t="s">
        <v>331</v>
      </c>
      <c r="I70" s="88" t="s">
        <v>339</v>
      </c>
      <c r="J70" s="89">
        <v>29814</v>
      </c>
    </row>
    <row r="71" spans="1:10">
      <c r="A71" s="84" t="s">
        <v>342</v>
      </c>
      <c r="B71" s="85" t="s">
        <v>36</v>
      </c>
      <c r="C71" s="85" t="s">
        <v>341</v>
      </c>
      <c r="D71" s="90" t="s">
        <v>340</v>
      </c>
      <c r="E71" s="91">
        <v>6484000</v>
      </c>
      <c r="F71" s="45" t="s">
        <v>229</v>
      </c>
      <c r="G71" s="87">
        <v>619950</v>
      </c>
      <c r="H71" s="85" t="s">
        <v>331</v>
      </c>
      <c r="I71" s="88" t="s">
        <v>339</v>
      </c>
      <c r="J71" s="89">
        <v>31297</v>
      </c>
    </row>
    <row r="72" spans="1:10">
      <c r="A72" s="84" t="s">
        <v>338</v>
      </c>
      <c r="B72" s="85" t="s">
        <v>36</v>
      </c>
      <c r="C72" s="85" t="s">
        <v>337</v>
      </c>
      <c r="D72" s="90" t="s">
        <v>336</v>
      </c>
      <c r="E72" s="91">
        <v>6986712</v>
      </c>
      <c r="F72" s="45" t="s">
        <v>217</v>
      </c>
      <c r="G72" s="87">
        <v>967157</v>
      </c>
      <c r="H72" s="85" t="s">
        <v>331</v>
      </c>
      <c r="I72" s="88" t="s">
        <v>210</v>
      </c>
      <c r="J72" s="89">
        <v>32754</v>
      </c>
    </row>
    <row r="73" spans="1:10">
      <c r="A73" s="84" t="s">
        <v>335</v>
      </c>
      <c r="B73" s="85" t="s">
        <v>334</v>
      </c>
      <c r="C73" s="85" t="s">
        <v>333</v>
      </c>
      <c r="D73" s="90" t="s">
        <v>332</v>
      </c>
      <c r="E73" s="91">
        <v>2642714</v>
      </c>
      <c r="F73" s="45" t="s">
        <v>217</v>
      </c>
      <c r="G73" s="87">
        <v>1000815</v>
      </c>
      <c r="H73" s="85" t="s">
        <v>331</v>
      </c>
      <c r="I73" s="88" t="s">
        <v>210</v>
      </c>
      <c r="J73" s="89">
        <v>34264</v>
      </c>
    </row>
  </sheetData>
  <pageMargins left="0.75" right="0.75" top="1" bottom="1" header="0" footer="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6DCE9-DE70-4688-A22F-A25DDE11D7AB}">
  <dimension ref="A1:N28"/>
  <sheetViews>
    <sheetView showGridLines="0" zoomScale="75" workbookViewId="0">
      <selection activeCell="M40" sqref="M40"/>
    </sheetView>
  </sheetViews>
  <sheetFormatPr baseColWidth="10" defaultRowHeight="12.75"/>
  <cols>
    <col min="1" max="1" width="14" customWidth="1"/>
    <col min="2" max="2" width="9.5703125" customWidth="1"/>
    <col min="3" max="3" width="8.42578125" customWidth="1"/>
    <col min="4" max="4" width="10.42578125" customWidth="1"/>
    <col min="5" max="5" width="14.140625" customWidth="1"/>
    <col min="6" max="6" width="11.28515625" customWidth="1"/>
    <col min="7" max="7" width="9.5703125" customWidth="1"/>
    <col min="8" max="8" width="12.28515625" customWidth="1"/>
    <col min="9" max="9" width="11.28515625" customWidth="1"/>
    <col min="10" max="10" width="15.7109375" bestFit="1" customWidth="1"/>
    <col min="11" max="11" width="13.7109375" bestFit="1" customWidth="1"/>
    <col min="13" max="13" width="9.140625" customWidth="1"/>
    <col min="14" max="14" width="12.85546875" customWidth="1"/>
  </cols>
  <sheetData>
    <row r="1" spans="1:14" ht="18">
      <c r="A1" s="132" t="s">
        <v>209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</row>
    <row r="2" spans="1:14" ht="13.5" thickBot="1"/>
    <row r="3" spans="1:14" ht="13.5" thickBot="1">
      <c r="A3" s="23" t="s">
        <v>59</v>
      </c>
      <c r="B3" s="25" t="s">
        <v>208</v>
      </c>
      <c r="C3" s="25" t="s">
        <v>52</v>
      </c>
      <c r="D3" s="25" t="s">
        <v>78</v>
      </c>
      <c r="E3" s="25" t="s">
        <v>138</v>
      </c>
      <c r="F3" s="25" t="s">
        <v>207</v>
      </c>
      <c r="G3" s="25" t="s">
        <v>206</v>
      </c>
      <c r="H3" s="25" t="s">
        <v>205</v>
      </c>
      <c r="I3" s="25" t="s">
        <v>204</v>
      </c>
      <c r="J3" s="25" t="s">
        <v>203</v>
      </c>
      <c r="K3" s="25" t="s">
        <v>202</v>
      </c>
      <c r="L3" s="25" t="s">
        <v>201</v>
      </c>
      <c r="M3" s="25" t="s">
        <v>189</v>
      </c>
      <c r="N3" s="22" t="s">
        <v>200</v>
      </c>
    </row>
    <row r="4" spans="1:14">
      <c r="A4" s="93" t="s">
        <v>199</v>
      </c>
      <c r="B4" s="94">
        <v>123568</v>
      </c>
      <c r="C4" s="95" t="s">
        <v>142</v>
      </c>
      <c r="D4" s="95" t="s">
        <v>56</v>
      </c>
      <c r="E4" s="95" t="s">
        <v>185</v>
      </c>
      <c r="F4" s="96" t="s">
        <v>55</v>
      </c>
      <c r="G4" s="40"/>
      <c r="H4" s="41"/>
      <c r="I4" s="40"/>
      <c r="J4" s="36"/>
      <c r="K4" s="34"/>
      <c r="L4" s="34"/>
      <c r="M4" s="34"/>
      <c r="N4" s="35"/>
    </row>
    <row r="5" spans="1:14">
      <c r="A5" s="97" t="s">
        <v>198</v>
      </c>
      <c r="B5" s="98">
        <v>536987</v>
      </c>
      <c r="C5" s="63" t="s">
        <v>58</v>
      </c>
      <c r="D5" s="63" t="s">
        <v>182</v>
      </c>
      <c r="E5" s="63" t="s">
        <v>108</v>
      </c>
      <c r="F5" s="99" t="s">
        <v>53</v>
      </c>
      <c r="G5" s="40"/>
      <c r="H5" s="41"/>
      <c r="I5" s="40"/>
      <c r="J5" s="36"/>
      <c r="K5" s="34"/>
      <c r="L5" s="34"/>
      <c r="M5" s="34"/>
      <c r="N5" s="35"/>
    </row>
    <row r="6" spans="1:14">
      <c r="A6" s="97" t="s">
        <v>197</v>
      </c>
      <c r="B6" s="98">
        <v>257894</v>
      </c>
      <c r="C6" s="63" t="s">
        <v>58</v>
      </c>
      <c r="D6" s="63" t="s">
        <v>57</v>
      </c>
      <c r="E6" s="63" t="s">
        <v>186</v>
      </c>
      <c r="F6" s="99" t="s">
        <v>54</v>
      </c>
      <c r="G6" s="40"/>
      <c r="H6" s="41"/>
      <c r="I6" s="40"/>
      <c r="J6" s="36"/>
      <c r="K6" s="34"/>
      <c r="L6" s="34"/>
      <c r="M6" s="34"/>
      <c r="N6" s="35"/>
    </row>
    <row r="7" spans="1:14">
      <c r="A7" s="97" t="s">
        <v>196</v>
      </c>
      <c r="B7" s="98">
        <v>254698</v>
      </c>
      <c r="C7" s="63" t="s">
        <v>181</v>
      </c>
      <c r="D7" s="63" t="s">
        <v>182</v>
      </c>
      <c r="E7" s="63" t="s">
        <v>108</v>
      </c>
      <c r="F7" s="99" t="s">
        <v>184</v>
      </c>
      <c r="G7" s="40"/>
      <c r="H7" s="41"/>
      <c r="I7" s="40"/>
      <c r="J7" s="36"/>
      <c r="K7" s="34"/>
      <c r="L7" s="34"/>
      <c r="M7" s="34"/>
      <c r="N7" s="35"/>
    </row>
    <row r="8" spans="1:14">
      <c r="A8" s="97" t="s">
        <v>195</v>
      </c>
      <c r="B8" s="98">
        <v>236984</v>
      </c>
      <c r="C8" s="63" t="s">
        <v>142</v>
      </c>
      <c r="D8" s="63" t="s">
        <v>56</v>
      </c>
      <c r="E8" s="63" t="s">
        <v>185</v>
      </c>
      <c r="F8" s="99" t="s">
        <v>184</v>
      </c>
      <c r="G8" s="40"/>
      <c r="H8" s="41"/>
      <c r="I8" s="40"/>
      <c r="J8" s="36"/>
      <c r="K8" s="34"/>
      <c r="L8" s="34"/>
      <c r="M8" s="34"/>
      <c r="N8" s="35"/>
    </row>
    <row r="9" spans="1:14">
      <c r="A9" s="97" t="s">
        <v>194</v>
      </c>
      <c r="B9" s="98">
        <v>986547</v>
      </c>
      <c r="C9" s="63" t="s">
        <v>142</v>
      </c>
      <c r="D9" s="63" t="s">
        <v>57</v>
      </c>
      <c r="E9" s="63" t="s">
        <v>186</v>
      </c>
      <c r="F9" s="99" t="s">
        <v>54</v>
      </c>
      <c r="G9" s="40"/>
      <c r="H9" s="41"/>
      <c r="I9" s="40"/>
      <c r="J9" s="36"/>
      <c r="K9" s="34"/>
      <c r="L9" s="34"/>
      <c r="M9" s="34"/>
      <c r="N9" s="35"/>
    </row>
    <row r="10" spans="1:14">
      <c r="A10" s="97" t="s">
        <v>193</v>
      </c>
      <c r="B10" s="98">
        <v>563241</v>
      </c>
      <c r="C10" s="63" t="s">
        <v>181</v>
      </c>
      <c r="D10" s="63" t="s">
        <v>57</v>
      </c>
      <c r="E10" s="63" t="s">
        <v>185</v>
      </c>
      <c r="F10" s="99" t="s">
        <v>55</v>
      </c>
      <c r="G10" s="40"/>
      <c r="H10" s="41"/>
      <c r="I10" s="40"/>
      <c r="J10" s="36"/>
      <c r="K10" s="34"/>
      <c r="L10" s="34"/>
      <c r="M10" s="34"/>
      <c r="N10" s="35"/>
    </row>
    <row r="11" spans="1:14" ht="13.5" thickBot="1">
      <c r="A11" s="100" t="s">
        <v>192</v>
      </c>
      <c r="B11" s="101">
        <v>235689</v>
      </c>
      <c r="C11" s="102" t="s">
        <v>142</v>
      </c>
      <c r="D11" s="102" t="s">
        <v>56</v>
      </c>
      <c r="E11" s="102" t="s">
        <v>186</v>
      </c>
      <c r="F11" s="103" t="s">
        <v>55</v>
      </c>
      <c r="G11" s="40"/>
      <c r="H11" s="41"/>
      <c r="I11" s="40"/>
      <c r="J11" s="36"/>
      <c r="K11" s="34"/>
      <c r="L11" s="34"/>
      <c r="M11" s="34"/>
      <c r="N11" s="35"/>
    </row>
    <row r="12" spans="1:14" ht="13.5" thickBot="1"/>
    <row r="13" spans="1:14" ht="13.5" thickBot="1">
      <c r="G13" s="25" t="s">
        <v>206</v>
      </c>
      <c r="H13" s="25" t="s">
        <v>205</v>
      </c>
      <c r="I13" s="25" t="s">
        <v>204</v>
      </c>
      <c r="J13" s="25" t="s">
        <v>203</v>
      </c>
      <c r="K13" s="25" t="s">
        <v>202</v>
      </c>
      <c r="L13" s="25" t="s">
        <v>201</v>
      </c>
      <c r="M13" s="25" t="s">
        <v>189</v>
      </c>
      <c r="N13" s="22" t="s">
        <v>200</v>
      </c>
    </row>
    <row r="14" spans="1:14" ht="13.5" thickBot="1">
      <c r="A14" s="23" t="s">
        <v>138</v>
      </c>
      <c r="B14" s="25" t="s">
        <v>191</v>
      </c>
      <c r="C14" s="25" t="s">
        <v>190</v>
      </c>
      <c r="D14" s="22" t="s">
        <v>189</v>
      </c>
      <c r="G14" s="44">
        <v>14828.16</v>
      </c>
      <c r="H14" s="44">
        <v>43248.800000000003</v>
      </c>
      <c r="I14" s="44">
        <v>8649.76</v>
      </c>
      <c r="J14" s="44">
        <v>190294.72</v>
      </c>
      <c r="K14" s="44">
        <v>11417.683199999999</v>
      </c>
      <c r="L14" s="44">
        <v>22835.366399999999</v>
      </c>
      <c r="M14" s="44">
        <v>22835.366399999999</v>
      </c>
      <c r="N14" s="44">
        <v>133206.304</v>
      </c>
    </row>
    <row r="15" spans="1:14">
      <c r="A15" s="104" t="s">
        <v>186</v>
      </c>
      <c r="B15" s="105">
        <v>0.21</v>
      </c>
      <c r="C15" s="105">
        <v>0.2</v>
      </c>
      <c r="D15" s="106">
        <v>0.15</v>
      </c>
      <c r="G15" s="44">
        <v>161096.1</v>
      </c>
      <c r="H15" s="44">
        <v>53698.7</v>
      </c>
      <c r="I15" s="44">
        <v>53698.7</v>
      </c>
      <c r="J15" s="44">
        <v>805480.5</v>
      </c>
      <c r="K15" s="44">
        <v>64438.44</v>
      </c>
      <c r="L15" s="44">
        <v>112767.27</v>
      </c>
      <c r="M15" s="44">
        <v>40274.024999999994</v>
      </c>
      <c r="N15" s="44">
        <v>588000.7649999999</v>
      </c>
    </row>
    <row r="16" spans="1:14">
      <c r="A16" s="107" t="s">
        <v>108</v>
      </c>
      <c r="B16" s="108">
        <v>0.3</v>
      </c>
      <c r="C16" s="108">
        <v>0.1</v>
      </c>
      <c r="D16" s="109">
        <v>0.05</v>
      </c>
      <c r="G16" s="44">
        <v>54157.74</v>
      </c>
      <c r="H16" s="44">
        <v>51578.8</v>
      </c>
      <c r="I16" s="44">
        <v>20631.52</v>
      </c>
      <c r="J16" s="44">
        <v>384262.06</v>
      </c>
      <c r="K16" s="44">
        <v>26898.344200000003</v>
      </c>
      <c r="L16" s="44">
        <v>53796.688400000006</v>
      </c>
      <c r="M16" s="44">
        <v>57639.309000000001</v>
      </c>
      <c r="N16" s="44">
        <v>245927.71840000001</v>
      </c>
    </row>
    <row r="17" spans="1:14" ht="13.5" thickBot="1">
      <c r="A17" s="110" t="s">
        <v>185</v>
      </c>
      <c r="B17" s="111">
        <v>0.12</v>
      </c>
      <c r="C17" s="111">
        <v>0.35</v>
      </c>
      <c r="D17" s="112">
        <v>0.12</v>
      </c>
      <c r="G17" s="44">
        <v>76409.399999999994</v>
      </c>
      <c r="H17" s="44">
        <v>25469.8</v>
      </c>
      <c r="I17" s="44">
        <v>30563.759999999998</v>
      </c>
      <c r="J17" s="44">
        <v>387140.96</v>
      </c>
      <c r="K17" s="44">
        <v>30971.276800000003</v>
      </c>
      <c r="L17" s="44">
        <v>38714.096000000005</v>
      </c>
      <c r="M17" s="44">
        <v>19357.048000000003</v>
      </c>
      <c r="N17" s="44">
        <v>298098.5392</v>
      </c>
    </row>
    <row r="18" spans="1:14" ht="13.5" thickBot="1">
      <c r="G18" s="44">
        <v>28438.080000000002</v>
      </c>
      <c r="H18" s="44">
        <v>82944.399999999994</v>
      </c>
      <c r="I18" s="44">
        <v>28438.080000000002</v>
      </c>
      <c r="J18" s="44">
        <v>376804.56</v>
      </c>
      <c r="K18" s="44">
        <v>22608.2736</v>
      </c>
      <c r="L18" s="44">
        <v>45216.547200000001</v>
      </c>
      <c r="M18" s="44">
        <v>45216.547200000001</v>
      </c>
      <c r="N18" s="44">
        <v>263763.19199999992</v>
      </c>
    </row>
    <row r="19" spans="1:14" ht="13.5" thickBot="1">
      <c r="A19" s="23" t="s">
        <v>78</v>
      </c>
      <c r="B19" s="22" t="s">
        <v>183</v>
      </c>
      <c r="G19" s="44">
        <v>207174.87</v>
      </c>
      <c r="H19" s="44">
        <v>197309.4</v>
      </c>
      <c r="I19" s="44">
        <v>78923.759999999995</v>
      </c>
      <c r="J19" s="44">
        <v>1469955.03</v>
      </c>
      <c r="K19" s="44">
        <v>102896.85210000002</v>
      </c>
      <c r="L19" s="44">
        <v>176394.6036</v>
      </c>
      <c r="M19" s="44">
        <v>220493.25450000001</v>
      </c>
      <c r="N19" s="44">
        <v>970170.31979999994</v>
      </c>
    </row>
    <row r="20" spans="1:14">
      <c r="A20" s="119" t="s">
        <v>56</v>
      </c>
      <c r="B20" s="120">
        <v>0.06</v>
      </c>
      <c r="C20" s="24"/>
      <c r="D20" s="21"/>
      <c r="G20" s="44">
        <v>67588.92</v>
      </c>
      <c r="H20" s="44">
        <v>197134.35</v>
      </c>
      <c r="I20" s="44">
        <v>39426.870000000003</v>
      </c>
      <c r="J20" s="44">
        <v>867391.14</v>
      </c>
      <c r="K20" s="44">
        <v>60717.37980000001</v>
      </c>
      <c r="L20" s="44">
        <v>86739.114000000001</v>
      </c>
      <c r="M20" s="44">
        <v>104086.9368</v>
      </c>
      <c r="N20" s="44">
        <v>615847.70940000005</v>
      </c>
    </row>
    <row r="21" spans="1:14" ht="13.5" thickBot="1">
      <c r="A21" s="121" t="s">
        <v>182</v>
      </c>
      <c r="B21" s="122">
        <v>0.08</v>
      </c>
      <c r="G21" s="44">
        <v>49494.69</v>
      </c>
      <c r="H21" s="44">
        <v>47137.8</v>
      </c>
      <c r="I21" s="44">
        <v>16498.23</v>
      </c>
      <c r="J21" s="44">
        <v>348819.72</v>
      </c>
      <c r="K21" s="44">
        <v>20929.183199999996</v>
      </c>
      <c r="L21" s="44">
        <v>41858.366399999992</v>
      </c>
      <c r="M21" s="44">
        <v>52322.957999999991</v>
      </c>
      <c r="N21" s="44">
        <v>233709.21240000002</v>
      </c>
    </row>
    <row r="22" spans="1:14" ht="13.5" thickBot="1">
      <c r="A22" s="123" t="s">
        <v>57</v>
      </c>
      <c r="B22" s="124">
        <v>7.0000000000000007E-2</v>
      </c>
      <c r="D22" s="23" t="s">
        <v>52</v>
      </c>
      <c r="E22" s="22" t="s">
        <v>183</v>
      </c>
    </row>
    <row r="23" spans="1:14" ht="13.5" thickBot="1">
      <c r="D23" s="125" t="s">
        <v>142</v>
      </c>
      <c r="E23" s="126">
        <v>0.12</v>
      </c>
    </row>
    <row r="24" spans="1:14" ht="13.5" thickBot="1">
      <c r="A24" s="23" t="s">
        <v>188</v>
      </c>
      <c r="B24" s="22" t="s">
        <v>187</v>
      </c>
      <c r="D24" s="127" t="s">
        <v>181</v>
      </c>
      <c r="E24" s="128">
        <v>0.1</v>
      </c>
    </row>
    <row r="25" spans="1:14" ht="13.5" thickBot="1">
      <c r="A25" s="113" t="s">
        <v>55</v>
      </c>
      <c r="B25" s="114">
        <v>7.0000000000000007E-2</v>
      </c>
      <c r="D25" s="129" t="s">
        <v>58</v>
      </c>
      <c r="E25" s="130">
        <v>0.14000000000000001</v>
      </c>
    </row>
    <row r="26" spans="1:14">
      <c r="A26" s="115" t="s">
        <v>54</v>
      </c>
      <c r="B26" s="116">
        <v>0.08</v>
      </c>
    </row>
    <row r="27" spans="1:14">
      <c r="A27" s="115" t="s">
        <v>53</v>
      </c>
      <c r="B27" s="116">
        <v>0.1</v>
      </c>
    </row>
    <row r="28" spans="1:14" ht="13.5" thickBot="1">
      <c r="A28" s="117" t="s">
        <v>184</v>
      </c>
      <c r="B28" s="118">
        <v>0.12</v>
      </c>
    </row>
  </sheetData>
  <mergeCells count="1">
    <mergeCell ref="A1:N1"/>
  </mergeCells>
  <pageMargins left="0.75" right="0.75" top="1" bottom="1" header="0" footer="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76131-FF29-431F-A1C6-15CE86D4F9A1}">
  <dimension ref="B6:L35"/>
  <sheetViews>
    <sheetView zoomScaleNormal="100" workbookViewId="0">
      <selection activeCell="K38" sqref="K38"/>
    </sheetView>
  </sheetViews>
  <sheetFormatPr baseColWidth="10" defaultRowHeight="12.75"/>
  <cols>
    <col min="1" max="1" width="2.28515625" customWidth="1"/>
    <col min="2" max="2" width="5.85546875" customWidth="1"/>
    <col min="8" max="8" width="4.85546875" customWidth="1"/>
  </cols>
  <sheetData>
    <row r="6" spans="3:12">
      <c r="C6" s="11" t="s">
        <v>48</v>
      </c>
      <c r="D6" s="11" t="s">
        <v>47</v>
      </c>
      <c r="E6" s="11" t="s">
        <v>46</v>
      </c>
      <c r="F6" s="11" t="s">
        <v>45</v>
      </c>
      <c r="I6" s="11" t="s">
        <v>48</v>
      </c>
      <c r="J6" s="11" t="s">
        <v>47</v>
      </c>
      <c r="K6" s="11" t="s">
        <v>46</v>
      </c>
      <c r="L6" s="11" t="s">
        <v>45</v>
      </c>
    </row>
    <row r="7" spans="3:12">
      <c r="C7" s="2" t="s">
        <v>44</v>
      </c>
      <c r="D7" s="2" t="s">
        <v>43</v>
      </c>
      <c r="E7" s="2" t="s">
        <v>42</v>
      </c>
      <c r="F7" s="2" t="s">
        <v>23</v>
      </c>
      <c r="I7" s="2" t="s">
        <v>44</v>
      </c>
      <c r="J7" s="2" t="s">
        <v>43</v>
      </c>
      <c r="K7" s="2" t="s">
        <v>42</v>
      </c>
      <c r="L7" s="2" t="s">
        <v>23</v>
      </c>
    </row>
    <row r="8" spans="3:12">
      <c r="C8" s="2" t="s">
        <v>13</v>
      </c>
      <c r="D8" s="2" t="s">
        <v>41</v>
      </c>
      <c r="E8" s="2" t="s">
        <v>40</v>
      </c>
      <c r="F8" s="2" t="s">
        <v>39</v>
      </c>
      <c r="I8" s="2" t="s">
        <v>13</v>
      </c>
      <c r="J8" s="2" t="s">
        <v>41</v>
      </c>
      <c r="K8" s="2" t="s">
        <v>40</v>
      </c>
      <c r="L8" s="2" t="s">
        <v>39</v>
      </c>
    </row>
    <row r="9" spans="3:12">
      <c r="C9" s="2" t="s">
        <v>38</v>
      </c>
      <c r="D9" s="2" t="s">
        <v>37</v>
      </c>
      <c r="E9" s="2" t="s">
        <v>36</v>
      </c>
      <c r="F9" s="2" t="s">
        <v>35</v>
      </c>
      <c r="I9" s="2" t="s">
        <v>38</v>
      </c>
      <c r="J9" s="2" t="s">
        <v>37</v>
      </c>
      <c r="K9" s="2" t="s">
        <v>36</v>
      </c>
      <c r="L9" s="2" t="s">
        <v>35</v>
      </c>
    </row>
    <row r="10" spans="3:12">
      <c r="C10" s="2" t="s">
        <v>34</v>
      </c>
      <c r="D10" s="2" t="s">
        <v>33</v>
      </c>
      <c r="E10" s="2" t="s">
        <v>32</v>
      </c>
      <c r="F10" s="2" t="s">
        <v>31</v>
      </c>
      <c r="I10" s="2" t="s">
        <v>34</v>
      </c>
      <c r="J10" s="2" t="s">
        <v>33</v>
      </c>
      <c r="K10" s="2" t="s">
        <v>32</v>
      </c>
      <c r="L10" s="2" t="s">
        <v>31</v>
      </c>
    </row>
    <row r="11" spans="3:12">
      <c r="C11" s="2" t="s">
        <v>30</v>
      </c>
      <c r="D11" s="2" t="s">
        <v>29</v>
      </c>
      <c r="E11" s="2" t="s">
        <v>28</v>
      </c>
      <c r="F11" s="2" t="s">
        <v>27</v>
      </c>
      <c r="I11" s="2" t="s">
        <v>30</v>
      </c>
      <c r="J11" s="2" t="s">
        <v>29</v>
      </c>
      <c r="K11" s="2" t="s">
        <v>28</v>
      </c>
      <c r="L11" s="2" t="s">
        <v>27</v>
      </c>
    </row>
    <row r="12" spans="3:12">
      <c r="C12" s="2" t="s">
        <v>26</v>
      </c>
      <c r="D12" s="2" t="s">
        <v>25</v>
      </c>
      <c r="E12" s="2" t="s">
        <v>24</v>
      </c>
      <c r="F12" s="2" t="s">
        <v>23</v>
      </c>
      <c r="I12" s="2" t="s">
        <v>26</v>
      </c>
      <c r="J12" s="2" t="s">
        <v>25</v>
      </c>
      <c r="K12" s="2" t="s">
        <v>24</v>
      </c>
      <c r="L12" s="2" t="s">
        <v>23</v>
      </c>
    </row>
    <row r="13" spans="3:12">
      <c r="C13" s="2" t="s">
        <v>22</v>
      </c>
      <c r="D13" s="2" t="s">
        <v>21</v>
      </c>
      <c r="E13" s="2" t="s">
        <v>20</v>
      </c>
      <c r="F13" s="2" t="s">
        <v>19</v>
      </c>
      <c r="I13" s="2" t="s">
        <v>22</v>
      </c>
      <c r="J13" s="2" t="s">
        <v>21</v>
      </c>
      <c r="K13" s="2" t="s">
        <v>20</v>
      </c>
      <c r="L13" s="2" t="s">
        <v>19</v>
      </c>
    </row>
    <row r="14" spans="3:12">
      <c r="C14" s="10" t="s">
        <v>18</v>
      </c>
      <c r="D14" s="10" t="s">
        <v>17</v>
      </c>
      <c r="E14" s="2" t="s">
        <v>16</v>
      </c>
      <c r="F14" s="2" t="s">
        <v>15</v>
      </c>
      <c r="I14" s="10" t="s">
        <v>18</v>
      </c>
      <c r="J14" s="10" t="s">
        <v>17</v>
      </c>
      <c r="K14" s="2" t="s">
        <v>16</v>
      </c>
      <c r="L14" s="2" t="s">
        <v>15</v>
      </c>
    </row>
    <row r="15" spans="3:12" ht="13.5" thickBot="1">
      <c r="C15" s="9"/>
      <c r="D15" s="8"/>
      <c r="I15" s="9"/>
      <c r="J15" s="8"/>
    </row>
    <row r="16" spans="3:12">
      <c r="C16" s="7" t="s">
        <v>14</v>
      </c>
      <c r="D16" s="37" t="s">
        <v>547</v>
      </c>
      <c r="I16" s="7" t="s">
        <v>14</v>
      </c>
      <c r="J16" s="37"/>
    </row>
    <row r="17" spans="3:11">
      <c r="C17" s="7" t="s">
        <v>12</v>
      </c>
      <c r="D17" s="38" t="e">
        <f>IF(D$16&lt;&gt;"",VLOOKUP(D$16,$C$6:$F$14,2,0),"")</f>
        <v>#N/A</v>
      </c>
      <c r="I17" s="7" t="s">
        <v>12</v>
      </c>
      <c r="J17" s="38" t="str">
        <f>IF(ISERROR(VLOOKUP($J$16,$I$6:$L$14,2,0)),"No Existe",(VLOOKUP($J$16,$I$6:$L$14,2,0)))</f>
        <v>No Existe</v>
      </c>
      <c r="K17" t="s">
        <v>49</v>
      </c>
    </row>
    <row r="18" spans="3:11">
      <c r="C18" s="7" t="s">
        <v>11</v>
      </c>
      <c r="D18" s="38" t="e">
        <f>IF(D$16&lt;&gt;"",VLOOKUP(D$16,$C$6:$F$14,3,0),"")</f>
        <v>#N/A</v>
      </c>
      <c r="I18" s="7" t="s">
        <v>11</v>
      </c>
      <c r="J18" s="38" t="str">
        <f>IF(ISERROR(VLOOKUP($J$16,$I$6:$L$14,3,0)),"No Existe",(VLOOKUP($J$16,$I$6:$L$14,3,0)))</f>
        <v>No Existe</v>
      </c>
      <c r="K18" t="s">
        <v>50</v>
      </c>
    </row>
    <row r="19" spans="3:11" ht="13.5" thickBot="1">
      <c r="C19" s="7" t="s">
        <v>10</v>
      </c>
      <c r="D19" s="39" t="e">
        <f>IF(D$16&lt;&gt;"",VLOOKUP(D$16,$C$6:$F$14,4,0),"")</f>
        <v>#N/A</v>
      </c>
      <c r="I19" s="7" t="s">
        <v>10</v>
      </c>
      <c r="J19" s="39" t="str">
        <f>IF(ISERROR(VLOOKUP($J$16,$I$6:$L$14,4,0)),"No Existe",(VLOOKUP($J$16,$I$6:$L$14,4,0)))</f>
        <v>No Existe</v>
      </c>
      <c r="K19" t="s">
        <v>51</v>
      </c>
    </row>
    <row r="20" spans="3:11">
      <c r="C20" s="6"/>
      <c r="D20" s="5"/>
      <c r="I20" s="6"/>
      <c r="J20" s="5"/>
    </row>
    <row r="22" spans="3:11">
      <c r="C22" s="4" t="s">
        <v>9</v>
      </c>
    </row>
    <row r="23" spans="3:11">
      <c r="C23" t="s">
        <v>8</v>
      </c>
    </row>
    <row r="24" spans="3:11">
      <c r="C24" t="s">
        <v>7</v>
      </c>
    </row>
    <row r="25" spans="3:11">
      <c r="C25" t="s">
        <v>6</v>
      </c>
    </row>
    <row r="26" spans="3:11">
      <c r="C26" t="s">
        <v>5</v>
      </c>
    </row>
    <row r="27" spans="3:11">
      <c r="C27" t="s">
        <v>4</v>
      </c>
    </row>
    <row r="28" spans="3:11">
      <c r="C28" t="s">
        <v>3</v>
      </c>
    </row>
    <row r="29" spans="3:11">
      <c r="C29" s="3" t="s">
        <v>2</v>
      </c>
    </row>
    <row r="30" spans="3:11">
      <c r="C30" s="3" t="s">
        <v>1</v>
      </c>
    </row>
    <row r="31" spans="3:11">
      <c r="C31" s="3" t="s">
        <v>0</v>
      </c>
    </row>
    <row r="35" spans="2:2">
      <c r="B35" s="1"/>
    </row>
  </sheetData>
  <printOptions headings="1" gridLines="1"/>
  <pageMargins left="0.34" right="0.75" top="0.43" bottom="1" header="0" footer="0"/>
  <pageSetup paperSize="9" scale="75" orientation="landscape" horizontalDpi="0" verticalDpi="0" copies="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10</vt:i4>
      </vt:variant>
      <vt:variant>
        <vt:lpstr>Rangos con nombre</vt:lpstr>
      </vt:variant>
      <vt:variant>
        <vt:i4>3</vt:i4>
      </vt:variant>
    </vt:vector>
  </HeadingPairs>
  <TitlesOfParts>
    <vt:vector size="13" baseType="lpstr">
      <vt:lpstr>BV1</vt:lpstr>
      <vt:lpstr>BV3</vt:lpstr>
      <vt:lpstr>BV4</vt:lpstr>
      <vt:lpstr>BV6</vt:lpstr>
      <vt:lpstr>BV8</vt:lpstr>
      <vt:lpstr>BV14</vt:lpstr>
      <vt:lpstr>BASE BV14</vt:lpstr>
      <vt:lpstr>BASE BV15</vt:lpstr>
      <vt:lpstr>BV16</vt:lpstr>
      <vt:lpstr>BV17</vt:lpstr>
      <vt:lpstr>'BV17'!Área_de_impresión</vt:lpstr>
      <vt:lpstr>'BASE BV15'!base</vt:lpstr>
      <vt:lpstr>cod.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FERNANDEZ V.</dc:creator>
  <cp:lastModifiedBy>SISTEMAS</cp:lastModifiedBy>
  <cp:lastPrinted>2007-10-15T08:34:59Z</cp:lastPrinted>
  <dcterms:created xsi:type="dcterms:W3CDTF">2003-02-07T00:34:41Z</dcterms:created>
  <dcterms:modified xsi:type="dcterms:W3CDTF">2025-02-27T20:54:25Z</dcterms:modified>
</cp:coreProperties>
</file>