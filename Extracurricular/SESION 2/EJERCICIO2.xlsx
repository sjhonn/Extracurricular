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SESION 2\"/>
    </mc:Choice>
  </mc:AlternateContent>
  <xr:revisionPtr revIDLastSave="0" documentId="13_ncr:1_{7474BA85-250A-407F-B935-CE114F823A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NTAR.SI" sheetId="1" r:id="rId1"/>
    <sheet name="CONTAR.SI.CONJUNTO " sheetId="3" r:id="rId2"/>
    <sheet name="SUMAR.SI" sheetId="2" r:id="rId3"/>
    <sheet name="SUMAR.SI.CONJUN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4" l="1"/>
  <c r="H7" i="4"/>
  <c r="H6" i="4"/>
  <c r="H5" i="4"/>
  <c r="H4" i="4"/>
  <c r="C10" i="2"/>
  <c r="C9" i="2"/>
  <c r="H3" i="3"/>
  <c r="H2" i="3"/>
  <c r="F4" i="1"/>
  <c r="F3" i="1"/>
  <c r="F2" i="1"/>
</calcChain>
</file>

<file path=xl/sharedStrings.xml><?xml version="1.0" encoding="utf-8"?>
<sst xmlns="http://schemas.openxmlformats.org/spreadsheetml/2006/main" count="99" uniqueCount="55">
  <si>
    <t>Nº</t>
  </si>
  <si>
    <t>Alumno</t>
  </si>
  <si>
    <t>Curso</t>
  </si>
  <si>
    <t>Cursos</t>
  </si>
  <si>
    <t>Total de Alumnos</t>
  </si>
  <si>
    <t>Juan</t>
  </si>
  <si>
    <t>Word</t>
  </si>
  <si>
    <t>Patricia</t>
  </si>
  <si>
    <t>Excel</t>
  </si>
  <si>
    <t>Luis</t>
  </si>
  <si>
    <t>Windows</t>
  </si>
  <si>
    <t>Julia</t>
  </si>
  <si>
    <t>Blanca</t>
  </si>
  <si>
    <t>Gabriel</t>
  </si>
  <si>
    <t>Saul</t>
  </si>
  <si>
    <t>Pedro</t>
  </si>
  <si>
    <t>Angela</t>
  </si>
  <si>
    <t>NOMBRES</t>
  </si>
  <si>
    <t>GÉNERO</t>
  </si>
  <si>
    <t>MEDALLAS</t>
  </si>
  <si>
    <t>JUAN</t>
  </si>
  <si>
    <t>HOMBRE</t>
  </si>
  <si>
    <t>LUIS</t>
  </si>
  <si>
    <t>LAURA</t>
  </si>
  <si>
    <t>MUJER</t>
  </si>
  <si>
    <t>SOFIA</t>
  </si>
  <si>
    <t>FELIPE</t>
  </si>
  <si>
    <t>DORA</t>
  </si>
  <si>
    <t>MEDALLAS HOMBRES</t>
  </si>
  <si>
    <t>MEDALLAS MUJERES</t>
  </si>
  <si>
    <t>Notas</t>
  </si>
  <si>
    <t>Nombre</t>
  </si>
  <si>
    <t>Región</t>
  </si>
  <si>
    <t>N° de pedidos</t>
  </si>
  <si>
    <t>ventas</t>
  </si>
  <si>
    <t>Susan</t>
  </si>
  <si>
    <t>Robertho</t>
  </si>
  <si>
    <t>Mia</t>
  </si>
  <si>
    <t>Daniel</t>
  </si>
  <si>
    <t>Walter</t>
  </si>
  <si>
    <t>Este</t>
  </si>
  <si>
    <t>Oeste</t>
  </si>
  <si>
    <t>Norte</t>
  </si>
  <si>
    <t>Sur</t>
  </si>
  <si>
    <t>Regiones</t>
  </si>
  <si>
    <t>Pedidos</t>
  </si>
  <si>
    <t>&gt;=50</t>
  </si>
  <si>
    <t>&gt;08   y   &lt; 13</t>
  </si>
  <si>
    <t>&gt;=13  y  &lt;17</t>
  </si>
  <si>
    <t>TOTAL DE ALUMNOS</t>
  </si>
  <si>
    <t>ESTADISTICAS(notas)</t>
  </si>
  <si>
    <t>Número totales de pedidos</t>
  </si>
  <si>
    <t>Ventas totales
para el n° de pedidos</t>
  </si>
  <si>
    <t>TABLA DE DATOS</t>
  </si>
  <si>
    <t>RESOLVER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</si>
</sst>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S/.-280A]\ * #,##0.00_ ;_ [$S/.-280A]\ * \-#,##0.00_ ;_ [$S/.-280A]\ * &quot;-&quot;??_ ;_ @_ 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1"/>
      <name val="Aharoni"/>
    </font>
    <font>
      <b/>
      <sz val="12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6" xfId="0" applyFont="1" applyFill="1" applyBorder="1"/>
    <xf numFmtId="0" fontId="1" fillId="5" borderId="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5" borderId="8" xfId="0" applyFont="1" applyFill="1" applyBorder="1"/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/>
    <xf numFmtId="0" fontId="1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7" borderId="22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164" fontId="0" fillId="0" borderId="21" xfId="0" applyNumberFormat="1" applyBorder="1"/>
    <xf numFmtId="164" fontId="0" fillId="0" borderId="15" xfId="0" applyNumberFormat="1" applyBorder="1"/>
    <xf numFmtId="164" fontId="0" fillId="0" borderId="18" xfId="0" applyNumberFormat="1" applyBorder="1"/>
    <xf numFmtId="0" fontId="3" fillId="8" borderId="22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0" fillId="0" borderId="12" xfId="0" applyBorder="1"/>
    <xf numFmtId="0" fontId="1" fillId="2" borderId="2" xfId="0" applyFont="1" applyFill="1" applyBorder="1"/>
    <xf numFmtId="0" fontId="0" fillId="0" borderId="8" xfId="0" applyBorder="1"/>
    <xf numFmtId="0" fontId="0" fillId="0" borderId="11" xfId="0" applyBorder="1"/>
    <xf numFmtId="0" fontId="0" fillId="0" borderId="25" xfId="0" applyBorder="1"/>
    <xf numFmtId="0" fontId="0" fillId="0" borderId="0" xfId="0" applyFill="1"/>
    <xf numFmtId="0" fontId="6" fillId="0" borderId="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6" borderId="11" xfId="0" applyFont="1" applyFill="1" applyBorder="1" applyAlignment="1">
      <alignment horizontal="right"/>
    </xf>
    <xf numFmtId="0" fontId="1" fillId="6" borderId="12" xfId="0" applyFont="1" applyFill="1" applyBorder="1" applyAlignment="1">
      <alignment horizontal="right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H5" sqref="H5"/>
    </sheetView>
  </sheetViews>
  <sheetFormatPr baseColWidth="10" defaultRowHeight="14.4" x14ac:dyDescent="0.3"/>
  <cols>
    <col min="1" max="1" width="4.109375" customWidth="1"/>
    <col min="2" max="2" width="12.33203125" customWidth="1"/>
    <col min="3" max="3" width="13.44140625" customWidth="1"/>
    <col min="4" max="4" width="4.6640625" customWidth="1"/>
    <col min="5" max="5" width="13.6640625" customWidth="1"/>
    <col min="6" max="6" width="22.33203125" customWidth="1"/>
  </cols>
  <sheetData>
    <row r="1" spans="1:7" ht="17.399999999999999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7" ht="17.399999999999999" x14ac:dyDescent="0.3">
      <c r="A2" s="2">
        <v>1</v>
      </c>
      <c r="B2" s="3" t="s">
        <v>5</v>
      </c>
      <c r="C2" s="2" t="s">
        <v>6</v>
      </c>
      <c r="E2" s="3" t="s">
        <v>6</v>
      </c>
      <c r="F2" s="4">
        <f>COUNTIF($C$2:$C$10,"Word")</f>
        <v>3</v>
      </c>
      <c r="G2" s="47"/>
    </row>
    <row r="3" spans="1:7" ht="17.399999999999999" x14ac:dyDescent="0.3">
      <c r="A3" s="2">
        <v>2</v>
      </c>
      <c r="B3" s="3" t="s">
        <v>7</v>
      </c>
      <c r="C3" s="2" t="s">
        <v>6</v>
      </c>
      <c r="E3" s="3" t="s">
        <v>8</v>
      </c>
      <c r="F3" s="4">
        <f>COUNTIF($C$2:$C$10,"Excel")</f>
        <v>4</v>
      </c>
    </row>
    <row r="4" spans="1:7" ht="17.399999999999999" x14ac:dyDescent="0.3">
      <c r="A4" s="2">
        <v>3</v>
      </c>
      <c r="B4" s="3" t="s">
        <v>9</v>
      </c>
      <c r="C4" s="2" t="s">
        <v>8</v>
      </c>
      <c r="E4" s="3" t="s">
        <v>10</v>
      </c>
      <c r="F4" s="4">
        <f>COUNTIF($C$2:$C$10,"Windows")</f>
        <v>2</v>
      </c>
    </row>
    <row r="5" spans="1:7" ht="17.399999999999999" x14ac:dyDescent="0.3">
      <c r="A5" s="2">
        <v>4</v>
      </c>
      <c r="B5" s="3" t="s">
        <v>11</v>
      </c>
      <c r="C5" s="2" t="s">
        <v>10</v>
      </c>
    </row>
    <row r="6" spans="1:7" ht="17.399999999999999" x14ac:dyDescent="0.3">
      <c r="A6" s="2">
        <v>5</v>
      </c>
      <c r="B6" s="3" t="s">
        <v>12</v>
      </c>
      <c r="C6" s="2" t="s">
        <v>8</v>
      </c>
    </row>
    <row r="7" spans="1:7" ht="17.399999999999999" x14ac:dyDescent="0.3">
      <c r="A7" s="2">
        <v>6</v>
      </c>
      <c r="B7" s="3" t="s">
        <v>13</v>
      </c>
      <c r="C7" s="2" t="s">
        <v>8</v>
      </c>
    </row>
    <row r="8" spans="1:7" ht="17.399999999999999" x14ac:dyDescent="0.3">
      <c r="A8" s="2">
        <v>7</v>
      </c>
      <c r="B8" s="3" t="s">
        <v>14</v>
      </c>
      <c r="C8" s="2" t="s">
        <v>6</v>
      </c>
    </row>
    <row r="9" spans="1:7" ht="17.399999999999999" x14ac:dyDescent="0.3">
      <c r="A9" s="2">
        <v>8</v>
      </c>
      <c r="B9" s="3" t="s">
        <v>15</v>
      </c>
      <c r="C9" s="2" t="s">
        <v>10</v>
      </c>
    </row>
    <row r="10" spans="1:7" ht="17.399999999999999" x14ac:dyDescent="0.3">
      <c r="A10" s="2">
        <v>9</v>
      </c>
      <c r="B10" s="3" t="s">
        <v>16</v>
      </c>
      <c r="C10" s="2" t="s">
        <v>8</v>
      </c>
    </row>
  </sheetData>
  <dataValidations count="1">
    <dataValidation allowBlank="1" showInputMessage="1" showErrorMessage="1" promptTitle="RECOMENDACIÓN" sqref="G2" xr:uid="{00000000-0002-0000-0000-000000000000}"/>
  </dataValidation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H4" sqref="H4"/>
    </sheetView>
  </sheetViews>
  <sheetFormatPr baseColWidth="10" defaultRowHeight="14.4" x14ac:dyDescent="0.3"/>
  <cols>
    <col min="1" max="1" width="4.109375" customWidth="1"/>
    <col min="2" max="2" width="12.33203125" customWidth="1"/>
    <col min="3" max="4" width="13.44140625" customWidth="1"/>
    <col min="5" max="5" width="6.44140625" customWidth="1"/>
    <col min="6" max="6" width="28.6640625" customWidth="1"/>
    <col min="7" max="7" width="30.5546875" customWidth="1"/>
    <col min="8" max="8" width="29.44140625" customWidth="1"/>
  </cols>
  <sheetData>
    <row r="1" spans="1:8" ht="17.399999999999999" x14ac:dyDescent="0.3">
      <c r="A1" s="1" t="s">
        <v>0</v>
      </c>
      <c r="B1" s="1" t="s">
        <v>1</v>
      </c>
      <c r="C1" s="1" t="s">
        <v>2</v>
      </c>
      <c r="D1" s="1" t="s">
        <v>30</v>
      </c>
      <c r="G1" s="43" t="s">
        <v>50</v>
      </c>
      <c r="H1" s="41" t="s">
        <v>49</v>
      </c>
    </row>
    <row r="2" spans="1:8" ht="17.399999999999999" x14ac:dyDescent="0.3">
      <c r="A2" s="2">
        <v>1</v>
      </c>
      <c r="B2" s="3" t="s">
        <v>5</v>
      </c>
      <c r="C2" s="2" t="s">
        <v>6</v>
      </c>
      <c r="D2" s="19">
        <v>15.2</v>
      </c>
      <c r="G2" s="48" t="s">
        <v>47</v>
      </c>
      <c r="H2" s="42">
        <f>COUNTIFS(D2:D10,"&gt;8",D2:D10,"&lt;13")</f>
        <v>2</v>
      </c>
    </row>
    <row r="3" spans="1:8" ht="17.399999999999999" x14ac:dyDescent="0.3">
      <c r="A3" s="2">
        <v>2</v>
      </c>
      <c r="B3" s="3" t="s">
        <v>7</v>
      </c>
      <c r="C3" s="2" t="s">
        <v>6</v>
      </c>
      <c r="D3" s="19">
        <v>16</v>
      </c>
      <c r="G3" s="48" t="s">
        <v>48</v>
      </c>
      <c r="H3" s="42">
        <f>COUNTIFS(D2:D10,"&gt;=13",D2:D10,"&lt;17")</f>
        <v>5</v>
      </c>
    </row>
    <row r="4" spans="1:8" ht="17.399999999999999" x14ac:dyDescent="0.3">
      <c r="A4" s="2">
        <v>3</v>
      </c>
      <c r="B4" s="3" t="s">
        <v>9</v>
      </c>
      <c r="C4" s="2" t="s">
        <v>8</v>
      </c>
      <c r="D4" s="19">
        <v>14.5</v>
      </c>
    </row>
    <row r="5" spans="1:8" ht="17.399999999999999" x14ac:dyDescent="0.3">
      <c r="A5" s="2">
        <v>4</v>
      </c>
      <c r="B5" s="3" t="s">
        <v>11</v>
      </c>
      <c r="C5" s="2" t="s">
        <v>10</v>
      </c>
      <c r="D5" s="19">
        <v>18</v>
      </c>
    </row>
    <row r="6" spans="1:8" ht="17.399999999999999" x14ac:dyDescent="0.3">
      <c r="A6" s="2">
        <v>5</v>
      </c>
      <c r="B6" s="3" t="s">
        <v>12</v>
      </c>
      <c r="C6" s="2" t="s">
        <v>8</v>
      </c>
      <c r="D6" s="19">
        <v>17.8</v>
      </c>
    </row>
    <row r="7" spans="1:8" ht="17.399999999999999" x14ac:dyDescent="0.3">
      <c r="A7" s="2">
        <v>6</v>
      </c>
      <c r="B7" s="3" t="s">
        <v>13</v>
      </c>
      <c r="C7" s="2" t="s">
        <v>8</v>
      </c>
      <c r="D7" s="19">
        <v>10</v>
      </c>
    </row>
    <row r="8" spans="1:8" ht="17.399999999999999" x14ac:dyDescent="0.3">
      <c r="A8" s="2">
        <v>7</v>
      </c>
      <c r="B8" s="3" t="s">
        <v>14</v>
      </c>
      <c r="C8" s="2" t="s">
        <v>6</v>
      </c>
      <c r="D8" s="19">
        <v>14.6</v>
      </c>
    </row>
    <row r="9" spans="1:8" ht="17.399999999999999" x14ac:dyDescent="0.3">
      <c r="A9" s="2">
        <v>8</v>
      </c>
      <c r="B9" s="3" t="s">
        <v>15</v>
      </c>
      <c r="C9" s="2" t="s">
        <v>10</v>
      </c>
      <c r="D9" s="19">
        <v>12</v>
      </c>
    </row>
    <row r="10" spans="1:8" ht="17.399999999999999" x14ac:dyDescent="0.3">
      <c r="A10" s="2">
        <v>9</v>
      </c>
      <c r="B10" s="3" t="s">
        <v>16</v>
      </c>
      <c r="C10" s="2" t="s">
        <v>8</v>
      </c>
      <c r="D10" s="19">
        <v>16.8</v>
      </c>
    </row>
    <row r="11" spans="1:8" ht="17.399999999999999" x14ac:dyDescent="0.3">
      <c r="F11" s="20"/>
      <c r="G11" s="21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F5" sqref="F5"/>
    </sheetView>
  </sheetViews>
  <sheetFormatPr baseColWidth="10" defaultRowHeight="14.4" x14ac:dyDescent="0.3"/>
  <cols>
    <col min="1" max="1" width="15.5546875" customWidth="1"/>
    <col min="2" max="2" width="15.44140625" customWidth="1"/>
    <col min="3" max="3" width="16.88671875" customWidth="1"/>
  </cols>
  <sheetData>
    <row r="1" spans="1:3" ht="17.399999999999999" x14ac:dyDescent="0.3">
      <c r="A1" s="5" t="s">
        <v>17</v>
      </c>
      <c r="B1" s="5" t="s">
        <v>18</v>
      </c>
      <c r="C1" s="5" t="s">
        <v>19</v>
      </c>
    </row>
    <row r="2" spans="1:3" ht="17.399999999999999" x14ac:dyDescent="0.3">
      <c r="A2" s="6" t="s">
        <v>20</v>
      </c>
      <c r="B2" s="7" t="s">
        <v>21</v>
      </c>
      <c r="C2" s="8">
        <v>2</v>
      </c>
    </row>
    <row r="3" spans="1:3" ht="17.399999999999999" x14ac:dyDescent="0.3">
      <c r="A3" s="9" t="s">
        <v>22</v>
      </c>
      <c r="B3" s="10" t="s">
        <v>21</v>
      </c>
      <c r="C3" s="11">
        <v>1</v>
      </c>
    </row>
    <row r="4" spans="1:3" ht="17.399999999999999" x14ac:dyDescent="0.3">
      <c r="A4" s="12" t="s">
        <v>23</v>
      </c>
      <c r="B4" s="13" t="s">
        <v>24</v>
      </c>
      <c r="C4" s="14">
        <v>4</v>
      </c>
    </row>
    <row r="5" spans="1:3" ht="17.399999999999999" x14ac:dyDescent="0.3">
      <c r="A5" s="9" t="s">
        <v>25</v>
      </c>
      <c r="B5" s="10" t="s">
        <v>24</v>
      </c>
      <c r="C5" s="11">
        <v>1</v>
      </c>
    </row>
    <row r="6" spans="1:3" ht="17.399999999999999" x14ac:dyDescent="0.3">
      <c r="A6" s="12" t="s">
        <v>26</v>
      </c>
      <c r="B6" s="13" t="s">
        <v>21</v>
      </c>
      <c r="C6" s="14">
        <v>5</v>
      </c>
    </row>
    <row r="7" spans="1:3" ht="17.399999999999999" x14ac:dyDescent="0.3">
      <c r="A7" s="15" t="s">
        <v>27</v>
      </c>
      <c r="B7" s="16" t="s">
        <v>24</v>
      </c>
      <c r="C7" s="17">
        <v>2</v>
      </c>
    </row>
    <row r="9" spans="1:3" ht="17.399999999999999" x14ac:dyDescent="0.3">
      <c r="A9" s="52" t="s">
        <v>28</v>
      </c>
      <c r="B9" s="53"/>
      <c r="C9" s="18">
        <f>SUMIF(B2:B7,"HOMBRE",C2:C7)</f>
        <v>8</v>
      </c>
    </row>
    <row r="10" spans="1:3" ht="17.399999999999999" x14ac:dyDescent="0.3">
      <c r="A10" s="52" t="s">
        <v>29</v>
      </c>
      <c r="B10" s="53"/>
      <c r="C10" s="18">
        <f>SUMIF(B2:B7,"MUJER",C2:C7)</f>
        <v>7</v>
      </c>
    </row>
  </sheetData>
  <mergeCells count="2">
    <mergeCell ref="A9:B9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9"/>
  <sheetViews>
    <sheetView tabSelected="1" workbookViewId="0">
      <selection activeCell="I13" sqref="I13"/>
    </sheetView>
  </sheetViews>
  <sheetFormatPr baseColWidth="10" defaultRowHeight="14.4" x14ac:dyDescent="0.3"/>
  <cols>
    <col min="3" max="3" width="22" customWidth="1"/>
    <col min="4" max="4" width="12.88671875" bestFit="1" customWidth="1"/>
    <col min="8" max="8" width="25.6640625" customWidth="1"/>
    <col min="9" max="9" width="35.109375" customWidth="1"/>
  </cols>
  <sheetData>
    <row r="2" spans="1:11" ht="20.399999999999999" thickBot="1" x14ac:dyDescent="0.4">
      <c r="A2" s="54" t="s">
        <v>53</v>
      </c>
      <c r="B2" s="54"/>
      <c r="C2" s="54"/>
      <c r="D2" s="54"/>
      <c r="E2" s="22"/>
      <c r="F2" s="54" t="s">
        <v>54</v>
      </c>
      <c r="G2" s="54"/>
      <c r="H2" s="54"/>
      <c r="I2" s="54"/>
    </row>
    <row r="3" spans="1:11" ht="36" customHeight="1" thickBot="1" x14ac:dyDescent="0.35">
      <c r="A3" s="32" t="s">
        <v>31</v>
      </c>
      <c r="B3" s="33" t="s">
        <v>32</v>
      </c>
      <c r="C3" s="33" t="s">
        <v>33</v>
      </c>
      <c r="D3" s="34" t="s">
        <v>34</v>
      </c>
      <c r="F3" s="38" t="s">
        <v>44</v>
      </c>
      <c r="G3" s="39" t="s">
        <v>45</v>
      </c>
      <c r="H3" s="40" t="s">
        <v>52</v>
      </c>
      <c r="I3" s="40" t="s">
        <v>51</v>
      </c>
      <c r="K3" s="47"/>
    </row>
    <row r="4" spans="1:11" ht="15" thickTop="1" x14ac:dyDescent="0.3">
      <c r="A4" s="29" t="s">
        <v>5</v>
      </c>
      <c r="B4" s="30" t="s">
        <v>40</v>
      </c>
      <c r="C4" s="49">
        <v>75</v>
      </c>
      <c r="D4" s="35">
        <v>12000</v>
      </c>
      <c r="F4" s="29" t="s">
        <v>40</v>
      </c>
      <c r="G4" s="30" t="s">
        <v>46</v>
      </c>
      <c r="H4" s="44">
        <f>SUMIFS(D4:D9,B4:B9,"Este",C4:C9,"&gt;=50")</f>
        <v>12000</v>
      </c>
      <c r="I4" s="31">
        <v>75</v>
      </c>
    </row>
    <row r="5" spans="1:11" x14ac:dyDescent="0.3">
      <c r="A5" s="24" t="s">
        <v>35</v>
      </c>
      <c r="B5" s="23" t="s">
        <v>40</v>
      </c>
      <c r="C5" s="50">
        <v>24</v>
      </c>
      <c r="D5" s="36">
        <v>15000</v>
      </c>
      <c r="F5" s="24" t="s">
        <v>41</v>
      </c>
      <c r="G5" s="23" t="s">
        <v>46</v>
      </c>
      <c r="H5" s="45">
        <f>SUMIFS(D4:D9,B4:B9,"Oeste",C4:C9,"&gt;=50")</f>
        <v>57000</v>
      </c>
      <c r="I5" s="25">
        <v>97</v>
      </c>
    </row>
    <row r="6" spans="1:11" x14ac:dyDescent="0.3">
      <c r="A6" s="24" t="s">
        <v>36</v>
      </c>
      <c r="B6" s="23" t="s">
        <v>41</v>
      </c>
      <c r="C6" s="50">
        <v>97</v>
      </c>
      <c r="D6" s="36">
        <v>57000</v>
      </c>
      <c r="F6" s="24" t="s">
        <v>42</v>
      </c>
      <c r="G6" s="23" t="s">
        <v>46</v>
      </c>
      <c r="H6" s="45">
        <f>SUMIFS(D4:D9,B4:B9,"Norte",C4:C9,"&gt;=50")</f>
        <v>35700</v>
      </c>
      <c r="I6" s="25">
        <v>89</v>
      </c>
    </row>
    <row r="7" spans="1:11" ht="15" thickBot="1" x14ac:dyDescent="0.35">
      <c r="A7" s="24" t="s">
        <v>37</v>
      </c>
      <c r="B7" s="23" t="s">
        <v>42</v>
      </c>
      <c r="C7" s="50">
        <v>63</v>
      </c>
      <c r="D7" s="36">
        <v>20000</v>
      </c>
      <c r="F7" s="26" t="s">
        <v>43</v>
      </c>
      <c r="G7" s="27" t="s">
        <v>46</v>
      </c>
      <c r="H7" s="46">
        <f>SUMIFS(D4:D9,B4:B9,"Sur",C4:C9,"&gt;=50")</f>
        <v>0</v>
      </c>
      <c r="I7" s="28">
        <f>COUNTIFS(B4:B9,"Sur",C4:C9,"&gt;=50")</f>
        <v>0</v>
      </c>
    </row>
    <row r="8" spans="1:11" x14ac:dyDescent="0.3">
      <c r="A8" s="24" t="s">
        <v>38</v>
      </c>
      <c r="B8" s="23" t="s">
        <v>42</v>
      </c>
      <c r="C8" s="50">
        <v>89</v>
      </c>
      <c r="D8" s="36">
        <v>15700</v>
      </c>
    </row>
    <row r="9" spans="1:11" ht="15" thickBot="1" x14ac:dyDescent="0.35">
      <c r="A9" s="26" t="s">
        <v>39</v>
      </c>
      <c r="B9" s="27" t="s">
        <v>43</v>
      </c>
      <c r="C9" s="51">
        <v>25</v>
      </c>
      <c r="D9" s="37">
        <v>25000</v>
      </c>
    </row>
  </sheetData>
  <mergeCells count="2">
    <mergeCell ref="A2:D2"/>
    <mergeCell ref="F2:I2"/>
  </mergeCells>
  <dataValidations count="1">
    <dataValidation allowBlank="1" showInputMessage="1" showErrorMessage="1" promptTitle="RECOMENDACIÓN" sqref="K3" xr:uid="{00000000-0002-0000-0300-000000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CONTAR.SI</vt:lpstr>
      <vt:lpstr>CONTAR.SI.CONJUNTO </vt:lpstr>
      <vt:lpstr>SUMAR.SI</vt:lpstr>
      <vt:lpstr>SUMAR.SI.CONJUNTO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Stefanny Salas Jimenez</cp:lastModifiedBy>
  <dcterms:created xsi:type="dcterms:W3CDTF">2016-10-21T17:05:45Z</dcterms:created>
  <dcterms:modified xsi:type="dcterms:W3CDTF">2026-02-21T02:10:36Z</dcterms:modified>
</cp:coreProperties>
</file>