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\Desktop\SESION 2\"/>
    </mc:Choice>
  </mc:AlternateContent>
  <xr:revisionPtr revIDLastSave="0" documentId="13_ncr:1_{BE56B140-17FF-4530-AC82-AA9A3264DDF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Hoja1" sheetId="6" r:id="rId1"/>
    <sheet name="Hoja2" sheetId="1" r:id="rId2"/>
    <sheet name="Hoja3" sheetId="4" r:id="rId3"/>
    <sheet name="Hoja4" sheetId="3" r:id="rId4"/>
    <sheet name="Hoja5" sheetId="5" r:id="rId5"/>
    <sheet name="Hoja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6" l="1"/>
  <c r="D14" i="6"/>
  <c r="E4" i="5"/>
  <c r="E5" i="5"/>
  <c r="E6" i="5"/>
  <c r="E7" i="5"/>
  <c r="F7" i="5" s="1"/>
  <c r="E8" i="5"/>
  <c r="E9" i="5"/>
  <c r="F9" i="5" s="1"/>
  <c r="E10" i="5"/>
  <c r="F10" i="5" s="1"/>
  <c r="E11" i="5"/>
  <c r="E12" i="5"/>
  <c r="F12" i="5" s="1"/>
  <c r="E13" i="5"/>
  <c r="F13" i="5" s="1"/>
  <c r="D4" i="5"/>
  <c r="D5" i="5"/>
  <c r="F5" i="5" s="1"/>
  <c r="D6" i="5"/>
  <c r="F6" i="5" s="1"/>
  <c r="D7" i="5"/>
  <c r="D8" i="5"/>
  <c r="D9" i="5"/>
  <c r="D10" i="5"/>
  <c r="D11" i="5"/>
  <c r="F11" i="5"/>
  <c r="D12" i="5"/>
  <c r="D13" i="5"/>
  <c r="E4" i="3"/>
  <c r="F4" i="3"/>
  <c r="E6" i="3"/>
  <c r="F6" i="3" s="1"/>
  <c r="F8" i="3" s="1"/>
  <c r="E7" i="3"/>
  <c r="F7" i="3"/>
  <c r="E5" i="3"/>
  <c r="F5" i="3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4" i="4"/>
  <c r="E5" i="1"/>
  <c r="E6" i="1"/>
  <c r="E7" i="1"/>
  <c r="E8" i="1"/>
  <c r="E9" i="1"/>
  <c r="E10" i="1"/>
  <c r="E11" i="1"/>
  <c r="E12" i="1"/>
  <c r="E13" i="1"/>
  <c r="E14" i="1"/>
  <c r="E15" i="1"/>
  <c r="E4" i="1"/>
  <c r="E16" i="1" s="1"/>
  <c r="C14" i="6"/>
  <c r="E5" i="6"/>
  <c r="E6" i="6"/>
  <c r="E7" i="6"/>
  <c r="E8" i="6"/>
  <c r="E9" i="6"/>
  <c r="E10" i="6"/>
  <c r="E11" i="6"/>
  <c r="E12" i="6"/>
  <c r="E4" i="6"/>
  <c r="B14" i="6"/>
  <c r="E13" i="6"/>
  <c r="F4" i="5" l="1"/>
  <c r="F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soporte</author>
    <author>PC</author>
  </authors>
  <commentList>
    <comment ref="B6" authorId="0" shapeId="0" xr:uid="{85556385-04D0-4CDD-AA4B-82A9BA2E28F4}">
      <text>
        <r>
          <rPr>
            <sz val="9"/>
            <color indexed="81"/>
            <rFont val="Tahoma"/>
            <family val="2"/>
          </rPr>
          <t>PINTAR DE COLOR ROJO LA CELDA Y EL TEXTO DE COLOR BLANCO SI EN LA COLUMNA PENSIÓN DICE " NO PAGO"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" authorId="0" shapeId="0" xr:uid="{B5B0AD36-6255-428C-849A-03A6D679ED04}">
      <text>
        <r>
          <rPr>
            <sz val="9"/>
            <color indexed="81"/>
            <rFont val="Tahoma"/>
            <family val="2"/>
          </rPr>
          <t xml:space="preserve">PINTAR LA CELDA DE COLOR AMARILLO Y EL TEXTO DE COLOR AZUL SI LAS NOTAS SON MAYORES DE 15
</t>
        </r>
      </text>
    </comment>
    <comment ref="D6" authorId="1" shapeId="0" xr:uid="{2B8751CE-B5F6-4221-B772-C701FAFAA162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APLICAR BARRA DE DATOS </t>
        </r>
      </text>
    </comment>
    <comment ref="E6" authorId="1" shapeId="0" xr:uid="{4A0D47E7-3556-474C-840F-49A3D1949466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LAS NOTAS MAYORES A 10 SERAN DE COLOR AZUL Y LAS NOTAS  MENORES QUE 11 SERAN DE COLOR ROJO</t>
        </r>
      </text>
    </comment>
    <comment ref="F6" authorId="1" shapeId="0" xr:uid="{E5C2243C-7F61-4F16-BD86-66DB0EA82647}">
      <text>
        <r>
          <rPr>
            <sz val="9"/>
            <color indexed="81"/>
            <rFont val="Tahoma"/>
            <family val="2"/>
          </rPr>
          <t>EL MENSAJE PAGO DEBER COLOR AZUL OSCURO Y NO PAGO COLOR ROJO</t>
        </r>
      </text>
    </comment>
  </commentList>
</comments>
</file>

<file path=xl/sharedStrings.xml><?xml version="1.0" encoding="utf-8"?>
<sst xmlns="http://schemas.openxmlformats.org/spreadsheetml/2006/main" count="254" uniqueCount="109">
  <si>
    <t>VENTAS DEL PRIMER TRIMESTRE</t>
  </si>
  <si>
    <t>Vendedor</t>
  </si>
  <si>
    <t>enero</t>
  </si>
  <si>
    <t>febrero</t>
  </si>
  <si>
    <t>marzo</t>
  </si>
  <si>
    <t>TOTAL VENDEDOR</t>
  </si>
  <si>
    <t>Joe</t>
  </si>
  <si>
    <t>Larry</t>
  </si>
  <si>
    <t>Curly</t>
  </si>
  <si>
    <t>Moe</t>
  </si>
  <si>
    <t>Nicolas</t>
  </si>
  <si>
    <t xml:space="preserve">Rubén </t>
  </si>
  <si>
    <t>Susana</t>
  </si>
  <si>
    <t>Carolina</t>
  </si>
  <si>
    <t>Teresa</t>
  </si>
  <si>
    <t>Andrés</t>
  </si>
  <si>
    <t>TOTAL MES</t>
  </si>
  <si>
    <t>1) Resalte con color verde los valores de la columna "TOTAL VENDEDOR" que sean mayores a 2.000</t>
  </si>
  <si>
    <t>DETALLE DE GANANCIA MENSUAL</t>
  </si>
  <si>
    <t>Columna1</t>
  </si>
  <si>
    <t>VENTAS</t>
  </si>
  <si>
    <t>COMPRAS</t>
  </si>
  <si>
    <t>GASTOS</t>
  </si>
  <si>
    <t>GANANCIA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</si>
  <si>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</si>
  <si>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</si>
  <si>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</si>
  <si>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</si>
  <si>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</si>
  <si>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</si>
  <si>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</si>
  <si>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</si>
  <si>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</si>
  <si>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GANANCIA TOTAL:</t>
  </si>
  <si>
    <t>1) Resalte con color rojo en la columna "GASTOS" aquellos valores que hayan superado los 1.000,00</t>
  </si>
  <si>
    <t>2) Resalte con color verde en la columna "VENTAS" aquellas que hayan superado los 3.000,00; y con color rojo las menores a 1.000,00.</t>
  </si>
  <si>
    <t>CUOTAS POR VENTAS A CRÉDITO</t>
  </si>
  <si>
    <t>Número de Cliente</t>
  </si>
  <si>
    <t>Nombre del Cliente</t>
  </si>
  <si>
    <t>Monto de Venta</t>
  </si>
  <si>
    <t>Fecha de Compra</t>
  </si>
  <si>
    <t>Nro. Cuotas</t>
  </si>
  <si>
    <t>Importe cada Cuota</t>
  </si>
  <si>
    <t xml:space="preserve">Susana </t>
  </si>
  <si>
    <t>Andrea</t>
  </si>
  <si>
    <t xml:space="preserve">Leo </t>
  </si>
  <si>
    <t>Cristina</t>
  </si>
  <si>
    <t>Celeste</t>
  </si>
  <si>
    <t>Carmen</t>
  </si>
  <si>
    <t>Carolyn</t>
  </si>
  <si>
    <t>Ana</t>
  </si>
  <si>
    <t>Sarah</t>
  </si>
  <si>
    <t>Pedro</t>
  </si>
  <si>
    <t>Marta</t>
  </si>
  <si>
    <t>Dayana</t>
  </si>
  <si>
    <t>Jaime</t>
  </si>
  <si>
    <t>Mariana</t>
  </si>
  <si>
    <t>Judith</t>
  </si>
  <si>
    <t>1) Resalte con color verde en la columna "Monto de Venta" aquellos valores que se encuentren entre 80.000 y 90.000</t>
  </si>
  <si>
    <t>2) Resalte con color amarillo oscuro en la columna "Fecha de Compra" las diez fechas más recientes.</t>
  </si>
  <si>
    <t>DESGLOCE DE FACTURA</t>
  </si>
  <si>
    <t>Cantidad Vendida</t>
  </si>
  <si>
    <t>Producto</t>
  </si>
  <si>
    <t>Precio Unitario</t>
  </si>
  <si>
    <t>Monto Base</t>
  </si>
  <si>
    <t>I.V.A. (18%)</t>
  </si>
  <si>
    <t>Total por Producto</t>
  </si>
  <si>
    <t>Camisa</t>
  </si>
  <si>
    <t>Pantalón</t>
  </si>
  <si>
    <t>Zapatos</t>
  </si>
  <si>
    <t>Corbata</t>
  </si>
  <si>
    <t>TOTAL FACTURA:</t>
  </si>
  <si>
    <t>1) Resalte con color verde en la columna "Precio Unitario" los dos mayores precios unitarios.</t>
  </si>
  <si>
    <t>2) En la columna "Total por Producto" resalte con color  de fuente verde oscuro, estilo cursiva y relleno amarillo" el menor de los valores.</t>
  </si>
  <si>
    <t>RESUMEN DE VENTAS POR VENDEDOR</t>
  </si>
  <si>
    <t>ID DEL VENDEDOR</t>
  </si>
  <si>
    <t>VENDEDOR</t>
  </si>
  <si>
    <t>VENTAS BRUTAS</t>
  </si>
  <si>
    <t>IVA (14%)</t>
  </si>
  <si>
    <t>DESCUENTO (2%)</t>
  </si>
  <si>
    <t>VENTAS NETAS</t>
  </si>
  <si>
    <t>Katy</t>
  </si>
  <si>
    <t>Antonio</t>
  </si>
  <si>
    <t>Luz</t>
  </si>
  <si>
    <r>
      <t xml:space="preserve">1) En la columna "Ventas Netas" aplique el efecto de Formato Condicional </t>
    </r>
    <r>
      <rPr>
        <b/>
        <sz val="11"/>
        <color theme="1"/>
        <rFont val="Calibri"/>
        <family val="2"/>
      </rPr>
      <t>→</t>
    </r>
    <r>
      <rPr>
        <b/>
        <sz val="11"/>
        <color theme="1"/>
        <rFont val="Calibri"/>
        <family val="2"/>
        <scheme val="minor"/>
      </rPr>
      <t>Barras de Datos→ Relleno Degradado verde claro</t>
    </r>
  </si>
  <si>
    <r>
      <t xml:space="preserve">2) En la columna "Ventas Brutas" aplique el efecto de Formato Condicional </t>
    </r>
    <r>
      <rPr>
        <b/>
        <sz val="11"/>
        <color theme="1"/>
        <rFont val="Calibri"/>
        <family val="2"/>
      </rPr>
      <t>→</t>
    </r>
    <r>
      <rPr>
        <b/>
        <sz val="11"/>
        <color theme="1"/>
        <rFont val="Calibri"/>
        <family val="2"/>
        <scheme val="minor"/>
      </rPr>
      <t>Escalas de color→ verde-amarillo-rojo</t>
    </r>
  </si>
  <si>
    <t>REGISTRO DE ALUMNOS</t>
  </si>
  <si>
    <t>CODIGO</t>
  </si>
  <si>
    <t>ALUMNO</t>
  </si>
  <si>
    <t>CURSO</t>
  </si>
  <si>
    <t>EDAD</t>
  </si>
  <si>
    <t>NOTAS</t>
  </si>
  <si>
    <t>PENSION</t>
  </si>
  <si>
    <t>MORAN</t>
  </si>
  <si>
    <t>WORD</t>
  </si>
  <si>
    <t>PAGO</t>
  </si>
  <si>
    <t>MEDINA</t>
  </si>
  <si>
    <t>MENDOZA</t>
  </si>
  <si>
    <t>POWER POINT</t>
  </si>
  <si>
    <t>NO PAGO</t>
  </si>
  <si>
    <t>HURTADO</t>
  </si>
  <si>
    <t>WINDOWS</t>
  </si>
  <si>
    <t>FLORES</t>
  </si>
  <si>
    <t>SOLIS</t>
  </si>
  <si>
    <t>SANCHEZ</t>
  </si>
  <si>
    <t>ZAVALETA</t>
  </si>
  <si>
    <t>TRUJILLO</t>
  </si>
  <si>
    <t>PRADO</t>
  </si>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</sst>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 * #,##0_ ;_ * \-#,##0_ ;_ * &quot;-&quot;??_ ;_ @_ "/>
    <numFmt numFmtId="166" formatCode="dd/mm/yyyy;@"/>
    <numFmt numFmtId="167" formatCode="#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6" borderId="0" applyNumberFormat="0" applyBorder="0" applyAlignment="0" applyProtection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0" fillId="7" borderId="0" xfId="0" applyFill="1"/>
    <xf numFmtId="164" fontId="0" fillId="0" borderId="0" xfId="6" applyFont="1"/>
    <xf numFmtId="165" fontId="0" fillId="0" borderId="0" xfId="6" applyNumberFormat="1" applyFont="1"/>
    <xf numFmtId="165" fontId="5" fillId="7" borderId="0" xfId="6" applyNumberFormat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8" borderId="1" xfId="4" applyFont="1" applyFill="1" applyBorder="1" applyAlignment="1">
      <alignment horizontal="center" wrapText="1"/>
    </xf>
    <xf numFmtId="0" fontId="5" fillId="8" borderId="1" xfId="4" applyFont="1" applyFill="1" applyBorder="1" applyAlignment="1">
      <alignment horizontal="center" vertical="center" wrapText="1"/>
    </xf>
    <xf numFmtId="164" fontId="8" fillId="10" borderId="0" xfId="6" applyFont="1" applyFill="1"/>
    <xf numFmtId="0" fontId="1" fillId="11" borderId="1" xfId="4" applyFill="1" applyBorder="1" applyAlignment="1">
      <alignment horizontal="center"/>
    </xf>
    <xf numFmtId="0" fontId="1" fillId="11" borderId="1" xfId="4" applyFill="1" applyBorder="1"/>
    <xf numFmtId="165" fontId="1" fillId="11" borderId="1" xfId="6" applyNumberFormat="1" applyFill="1" applyBorder="1"/>
    <xf numFmtId="166" fontId="1" fillId="11" borderId="1" xfId="4" applyNumberFormat="1" applyFill="1" applyBorder="1"/>
    <xf numFmtId="0" fontId="1" fillId="11" borderId="1" xfId="4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65" fontId="0" fillId="0" borderId="0" xfId="6" applyNumberFormat="1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left"/>
    </xf>
    <xf numFmtId="4" fontId="5" fillId="7" borderId="0" xfId="0" applyNumberFormat="1" applyFont="1" applyFill="1"/>
    <xf numFmtId="164" fontId="0" fillId="0" borderId="0" xfId="6" applyFont="1" applyAlignment="1">
      <alignment horizontal="right"/>
    </xf>
    <xf numFmtId="164" fontId="0" fillId="0" borderId="0" xfId="6" applyFont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10" fillId="12" borderId="2" xfId="0" applyFont="1" applyFill="1" applyBorder="1" applyAlignment="1">
      <alignment horizontal="center"/>
    </xf>
    <xf numFmtId="0" fontId="0" fillId="0" borderId="1" xfId="0" applyBorder="1"/>
    <xf numFmtId="0" fontId="6" fillId="3" borderId="0" xfId="2" applyFont="1" applyAlignment="1">
      <alignment horizontal="center"/>
    </xf>
    <xf numFmtId="0" fontId="3" fillId="2" borderId="0" xfId="1" applyFont="1" applyAlignment="1">
      <alignment horizontal="center"/>
    </xf>
    <xf numFmtId="0" fontId="8" fillId="10" borderId="0" xfId="0" applyFont="1" applyFill="1" applyAlignment="1">
      <alignment horizontal="right"/>
    </xf>
    <xf numFmtId="0" fontId="4" fillId="4" borderId="0" xfId="3" applyFont="1" applyAlignment="1">
      <alignment horizontal="center"/>
    </xf>
    <xf numFmtId="0" fontId="7" fillId="9" borderId="0" xfId="2" applyFont="1" applyFill="1" applyAlignment="1">
      <alignment horizontal="center"/>
    </xf>
    <xf numFmtId="0" fontId="5" fillId="7" borderId="0" xfId="0" applyFont="1" applyFill="1" applyAlignment="1">
      <alignment horizontal="right"/>
    </xf>
    <xf numFmtId="0" fontId="2" fillId="6" borderId="0" xfId="5" applyAlignment="1">
      <alignment horizontal="center"/>
    </xf>
    <xf numFmtId="167" fontId="0" fillId="0" borderId="1" xfId="0" applyNumberFormat="1" applyBorder="1"/>
  </cellXfs>
  <cellStyles count="7">
    <cellStyle name="40% - Énfasis4" xfId="4" builtinId="43"/>
    <cellStyle name="Énfasis1" xfId="1" builtinId="29"/>
    <cellStyle name="Énfasis3" xfId="2" builtinId="37"/>
    <cellStyle name="Énfasis4" xfId="3" builtinId="41"/>
    <cellStyle name="Énfasis6" xfId="5" builtinId="49"/>
    <cellStyle name="Millares" xfId="6" builtinId="3"/>
    <cellStyle name="Normal" xfId="0" builtinId="0"/>
  </cellStyles>
  <dxfs count="8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color auto="1"/>
      </font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  <alignment horizontal="right" vertical="bottom" textRotation="0" wrapText="0" indent="0" justifyLastLine="0" shrinkToFit="0" readingOrder="0"/>
    </dxf>
    <dxf>
      <numFmt numFmtId="165" formatCode="_ * #,##0_ ;_ * \-#,##0_ ;_ * &quot;-&quot;??_ ;_ @_ "/>
    </dxf>
    <dxf>
      <alignment horizontal="center" vertical="bottom" textRotation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/>
        <color rgb="FF00B05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.00_ ;_ * \-#,##0.00_ ;_ * &quot;-&quot;??_ ;_ @_ "/>
    </dxf>
    <dxf>
      <font>
        <b/>
        <family val="2"/>
      </font>
      <numFmt numFmtId="165" formatCode="_ * #,##0_ ;_ * \-#,##0_ ;_ * &quot;-&quot;??_ ;_ @_ "/>
      <fill>
        <patternFill patternType="solid">
          <fgColor indexed="64"/>
          <bgColor theme="0" tint="-0.249977111117893"/>
        </patternFill>
      </fill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a4" displayName="Tabla4" ref="A3:E14" totalsRowShown="0">
  <autoFilter ref="A3:E14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Vendedor"/>
    <tableColumn id="2" xr3:uid="{00000000-0010-0000-0000-000002000000}" name="enero" dataDxfId="85"/>
    <tableColumn id="3" xr3:uid="{00000000-0010-0000-0000-000003000000}" name="febrero" dataDxfId="84"/>
    <tableColumn id="4" xr3:uid="{00000000-0010-0000-0000-000004000000}" name="marzo" dataDxfId="83"/>
    <tableColumn id="5" xr3:uid="{00000000-0010-0000-0000-000005000000}" name="TOTAL VENDEDOR" dataDxfId="8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3:E15" totalsRowShown="0">
  <autoFilter ref="A3:E1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100-000001000000}" name="Columna1"/>
    <tableColumn id="2" xr3:uid="{00000000-0010-0000-0100-000002000000}" name="VENTAS"/>
    <tableColumn id="3" xr3:uid="{00000000-0010-0000-0100-000003000000}" name="COMPRAS"/>
    <tableColumn id="4" xr3:uid="{00000000-0010-0000-0100-000004000000}" name="GASTOS"/>
    <tableColumn id="5" xr3:uid="{00000000-0010-0000-0100-000005000000}" name="GANANCIA" dataDxfId="81">
      <calculatedColumnFormula>Tabla1[[#This Row],[VENTAS]]-Tabla1[[#This Row],[COMPRAS]]-Tabla1[[#This Row],[GASTOS]]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a2" displayName="Tabla2" ref="A3:F7" totalsRowShown="0" headerRowDxfId="75">
  <autoFilter ref="A3:F7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200-000001000000}" name="Cantidad Vendida" dataDxfId="74"/>
    <tableColumn id="2" xr3:uid="{00000000-0010-0000-0200-000002000000}" name="Producto"/>
    <tableColumn id="3" xr3:uid="{00000000-0010-0000-0200-000003000000}" name="Precio Unitario" dataDxfId="73"/>
    <tableColumn id="4" xr3:uid="{00000000-0010-0000-0200-000004000000}" name="Monto Base" dataDxfId="72"/>
    <tableColumn id="5" xr3:uid="{00000000-0010-0000-0200-000005000000}" name="I.V.A. (18%)" dataDxfId="71">
      <calculatedColumnFormula>Tabla2[[#This Row],[Monto Base]]*18%</calculatedColumnFormula>
    </tableColumn>
    <tableColumn id="6" xr3:uid="{00000000-0010-0000-0200-000006000000}" name="Total por Producto" dataDxfId="70">
      <calculatedColumnFormula>Tabla2[[#This Row],[I.V.A. (18%)]]+Tabla2[[#This Row],[Monto Base]]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a3" displayName="Tabla3" ref="A3:F13" totalsRowShown="0" headerRowDxfId="69">
  <autoFilter ref="A3:F13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300-000001000000}" name="ID DEL VENDEDOR" dataDxfId="68"/>
    <tableColumn id="2" xr3:uid="{00000000-0010-0000-0300-000002000000}" name="VENDEDOR"/>
    <tableColumn id="3" xr3:uid="{00000000-0010-0000-0300-000003000000}" name="VENTAS BRUTAS"/>
    <tableColumn id="4" xr3:uid="{00000000-0010-0000-0300-000004000000}" name="IVA (14%)" dataDxfId="67">
      <calculatedColumnFormula>Tabla3[[#This Row],[VENTAS BRUTAS]]*14%</calculatedColumnFormula>
    </tableColumn>
    <tableColumn id="5" xr3:uid="{00000000-0010-0000-0300-000005000000}" name="DESCUENTO (2%)" dataDxfId="66">
      <calculatedColumnFormula>Tabla3[[#This Row],[VENTAS BRUTAS]]*2%</calculatedColumnFormula>
    </tableColumn>
    <tableColumn id="6" xr3:uid="{00000000-0010-0000-0300-000006000000}" name="VENTAS NETAS" dataDxfId="65">
      <calculatedColumnFormula>Tabla3[[#This Row],[VENTAS BRUTAS]]-Tabla3[[#This Row],[IVA (14%)]]-Tabla3[[#This Row],[DESCUENTO (2%)]]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zoomScale="142" zoomScaleNormal="142" workbookViewId="0">
      <selection activeCell="G14" sqref="G14"/>
    </sheetView>
  </sheetViews>
  <sheetFormatPr baseColWidth="10" defaultColWidth="11.44140625" defaultRowHeight="14.4" x14ac:dyDescent="0.3"/>
  <cols>
    <col min="1" max="1" width="12" customWidth="1"/>
    <col min="5" max="5" width="19" customWidth="1"/>
  </cols>
  <sheetData>
    <row r="1" spans="1:5" ht="18" x14ac:dyDescent="0.35">
      <c r="A1" s="26" t="s">
        <v>0</v>
      </c>
      <c r="B1" s="26"/>
      <c r="C1" s="26"/>
      <c r="D1" s="26"/>
      <c r="E1" s="26"/>
    </row>
    <row r="3" spans="1: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3">
      <c r="A4" t="s">
        <v>6</v>
      </c>
      <c r="B4" s="3">
        <v>210</v>
      </c>
      <c r="C4" s="3">
        <v>200</v>
      </c>
      <c r="D4" s="3">
        <v>100</v>
      </c>
      <c r="E4" s="4">
        <f>Tabla4[[#This Row],[enero]]+Tabla4[[#This Row],[febrero]]+Tabla4[[#This Row],[marzo]]</f>
        <v>510</v>
      </c>
    </row>
    <row r="5" spans="1:5" x14ac:dyDescent="0.3">
      <c r="A5" t="s">
        <v>7</v>
      </c>
      <c r="B5" s="3">
        <v>315</v>
      </c>
      <c r="C5" s="3">
        <v>300</v>
      </c>
      <c r="D5" s="3">
        <v>100</v>
      </c>
      <c r="E5" s="4">
        <f>Tabla4[[#This Row],[enero]]+Tabla4[[#This Row],[febrero]]+Tabla4[[#This Row],[marzo]]</f>
        <v>715</v>
      </c>
    </row>
    <row r="6" spans="1:5" x14ac:dyDescent="0.3">
      <c r="A6" t="s">
        <v>8</v>
      </c>
      <c r="B6" s="3">
        <v>420</v>
      </c>
      <c r="C6" s="3">
        <v>400</v>
      </c>
      <c r="D6" s="3">
        <v>200</v>
      </c>
      <c r="E6" s="4">
        <f>Tabla4[[#This Row],[enero]]+Tabla4[[#This Row],[febrero]]+Tabla4[[#This Row],[marzo]]</f>
        <v>1020</v>
      </c>
    </row>
    <row r="7" spans="1:5" x14ac:dyDescent="0.3">
      <c r="A7" t="s">
        <v>9</v>
      </c>
      <c r="B7" s="3">
        <v>630</v>
      </c>
      <c r="C7" s="3">
        <v>600</v>
      </c>
      <c r="D7" s="3">
        <v>200</v>
      </c>
      <c r="E7" s="4">
        <f>Tabla4[[#This Row],[enero]]+Tabla4[[#This Row],[febrero]]+Tabla4[[#This Row],[marzo]]</f>
        <v>1430</v>
      </c>
    </row>
    <row r="8" spans="1:5" x14ac:dyDescent="0.3">
      <c r="A8" t="s">
        <v>10</v>
      </c>
      <c r="B8" s="3">
        <v>210</v>
      </c>
      <c r="C8" s="3">
        <v>200</v>
      </c>
      <c r="D8" s="3">
        <v>100</v>
      </c>
      <c r="E8" s="4">
        <f>Tabla4[[#This Row],[enero]]+Tabla4[[#This Row],[febrero]]+Tabla4[[#This Row],[marzo]]</f>
        <v>510</v>
      </c>
    </row>
    <row r="9" spans="1:5" x14ac:dyDescent="0.3">
      <c r="A9" t="s">
        <v>11</v>
      </c>
      <c r="B9" s="3">
        <v>315</v>
      </c>
      <c r="C9" s="3">
        <v>300</v>
      </c>
      <c r="D9" s="3">
        <v>100</v>
      </c>
      <c r="E9" s="4">
        <f>Tabla4[[#This Row],[enero]]+Tabla4[[#This Row],[febrero]]+Tabla4[[#This Row],[marzo]]</f>
        <v>715</v>
      </c>
    </row>
    <row r="10" spans="1:5" x14ac:dyDescent="0.3">
      <c r="A10" t="s">
        <v>12</v>
      </c>
      <c r="B10" s="3">
        <v>630</v>
      </c>
      <c r="C10" s="3">
        <v>600</v>
      </c>
      <c r="D10" s="3">
        <v>300</v>
      </c>
      <c r="E10" s="4">
        <f>Tabla4[[#This Row],[enero]]+Tabla4[[#This Row],[febrero]]+Tabla4[[#This Row],[marzo]]</f>
        <v>1530</v>
      </c>
    </row>
    <row r="11" spans="1:5" x14ac:dyDescent="0.3">
      <c r="A11" t="s">
        <v>13</v>
      </c>
      <c r="B11" s="3">
        <v>945</v>
      </c>
      <c r="C11" s="3">
        <v>900</v>
      </c>
      <c r="D11" s="3">
        <v>300</v>
      </c>
      <c r="E11" s="4">
        <f>Tabla4[[#This Row],[enero]]+Tabla4[[#This Row],[febrero]]+Tabla4[[#This Row],[marzo]]</f>
        <v>2145</v>
      </c>
    </row>
    <row r="12" spans="1:5" x14ac:dyDescent="0.3">
      <c r="A12" t="s">
        <v>14</v>
      </c>
      <c r="B12" s="3">
        <v>840</v>
      </c>
      <c r="C12" s="3">
        <v>800</v>
      </c>
      <c r="D12" s="3">
        <v>400</v>
      </c>
      <c r="E12" s="4">
        <f>Tabla4[[#This Row],[enero]]+Tabla4[[#This Row],[febrero]]+Tabla4[[#This Row],[marzo]]</f>
        <v>2040</v>
      </c>
    </row>
    <row r="13" spans="1:5" x14ac:dyDescent="0.3">
      <c r="A13" t="s">
        <v>15</v>
      </c>
      <c r="B13" s="3">
        <v>1260</v>
      </c>
      <c r="C13" s="3">
        <v>1200</v>
      </c>
      <c r="D13" s="3">
        <v>400</v>
      </c>
      <c r="E13" s="4">
        <f>Tabla4[[#This Row],[enero]]+Tabla4[[#This Row],[febrero]]+Tabla4[[#This Row],[marzo]]</f>
        <v>2860</v>
      </c>
    </row>
    <row r="14" spans="1:5" x14ac:dyDescent="0.3">
      <c r="A14" s="1" t="s">
        <v>16</v>
      </c>
      <c r="B14" s="4">
        <f>SUBTOTAL(109,B4:B13)</f>
        <v>5775</v>
      </c>
      <c r="C14" s="4">
        <f t="shared" ref="C14" si="0">SUBTOTAL(109,C4:C13)</f>
        <v>5500</v>
      </c>
      <c r="D14" s="4">
        <f>SUBTOTAL(109,D4:D13)</f>
        <v>2200</v>
      </c>
      <c r="E14" s="4">
        <f>SUM(E4:E13)</f>
        <v>13475</v>
      </c>
    </row>
    <row r="17" spans="1:1" x14ac:dyDescent="0.3">
      <c r="A17" s="18" t="s">
        <v>17</v>
      </c>
    </row>
    <row r="18" spans="1:1" x14ac:dyDescent="0.3">
      <c r="A18" s="18"/>
    </row>
  </sheetData>
  <mergeCells count="1">
    <mergeCell ref="A1:E1"/>
  </mergeCells>
  <conditionalFormatting sqref="E4:E13">
    <cfRule type="cellIs" dxfId="62" priority="2" operator="greaterThan">
      <formula>2000</formula>
    </cfRule>
    <cfRule type="cellIs" dxfId="63" priority="1" operator="greaterThan">
      <formula>2000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G11" sqref="G11"/>
    </sheetView>
  </sheetViews>
  <sheetFormatPr baseColWidth="10" defaultColWidth="11.44140625" defaultRowHeight="14.4" x14ac:dyDescent="0.3"/>
  <cols>
    <col min="1" max="1" width="12" customWidth="1"/>
    <col min="3" max="3" width="12" customWidth="1"/>
    <col min="5" max="5" width="12.88671875" customWidth="1"/>
  </cols>
  <sheetData>
    <row r="1" spans="1:5" ht="18" x14ac:dyDescent="0.35">
      <c r="A1" s="27" t="s">
        <v>18</v>
      </c>
      <c r="B1" s="27"/>
      <c r="C1" s="27"/>
      <c r="D1" s="27"/>
      <c r="E1" s="27"/>
    </row>
    <row r="3" spans="1:5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</row>
    <row r="4" spans="1:5" x14ac:dyDescent="0.3">
      <c r="A4" t="s">
        <v>2</v>
      </c>
      <c r="B4" s="2">
        <v>1000</v>
      </c>
      <c r="C4" s="2">
        <v>200</v>
      </c>
      <c r="D4" s="2">
        <v>100</v>
      </c>
      <c r="E4" s="2">
        <f>Tabla1[[#This Row],[VENTAS]]-Tabla1[[#This Row],[COMPRAS]]-Tabla1[[#This Row],[GASTOS]]</f>
        <v>700</v>
      </c>
    </row>
    <row r="5" spans="1:5" x14ac:dyDescent="0.3">
      <c r="A5" t="s">
        <v>3</v>
      </c>
      <c r="B5" s="2">
        <v>3600</v>
      </c>
      <c r="C5" s="2">
        <v>300</v>
      </c>
      <c r="D5" s="2">
        <v>300</v>
      </c>
      <c r="E5" s="2">
        <f>Tabla1[[#This Row],[VENTAS]]-Tabla1[[#This Row],[COMPRAS]]-Tabla1[[#This Row],[GASTOS]]</f>
        <v>3000</v>
      </c>
    </row>
    <row r="6" spans="1:5" x14ac:dyDescent="0.3">
      <c r="A6" t="s">
        <v>4</v>
      </c>
      <c r="B6" s="2">
        <v>311.8</v>
      </c>
      <c r="C6" s="2">
        <v>57.09</v>
      </c>
      <c r="D6" s="2">
        <v>16.900500000000001</v>
      </c>
      <c r="E6" s="2">
        <f>Tabla1[[#This Row],[VENTAS]]-Tabla1[[#This Row],[COMPRAS]]-Tabla1[[#This Row],[GASTOS]]</f>
        <v>237.80950000000001</v>
      </c>
    </row>
    <row r="7" spans="1:5" x14ac:dyDescent="0.3">
      <c r="A7" t="s">
        <v>24</v>
      </c>
      <c r="B7" s="2">
        <v>1788.66</v>
      </c>
      <c r="C7" s="2">
        <v>186.15</v>
      </c>
      <c r="D7" s="2">
        <v>47.64</v>
      </c>
      <c r="E7" s="2">
        <f>Tabla1[[#This Row],[VENTAS]]-Tabla1[[#This Row],[COMPRAS]]-Tabla1[[#This Row],[GASTOS]]</f>
        <v>1554.87</v>
      </c>
    </row>
    <row r="8" spans="1:5" x14ac:dyDescent="0.3">
      <c r="A8" t="s">
        <v>25</v>
      </c>
      <c r="B8" s="2">
        <v>1956</v>
      </c>
      <c r="C8" s="2">
        <v>212.85</v>
      </c>
      <c r="D8" s="2">
        <v>607.89549999999997</v>
      </c>
      <c r="E8" s="2">
        <f>Tabla1[[#This Row],[VENTAS]]-Tabla1[[#This Row],[COMPRAS]]-Tabla1[[#This Row],[GASTOS]]</f>
        <v>1135.2545</v>
      </c>
    </row>
    <row r="9" spans="1:5" x14ac:dyDescent="0.3">
      <c r="A9" t="s">
        <v>26</v>
      </c>
      <c r="B9" s="2">
        <v>869.65</v>
      </c>
      <c r="C9" s="2">
        <v>147.12</v>
      </c>
      <c r="D9" s="2">
        <v>343.63400000000001</v>
      </c>
      <c r="E9" s="2">
        <f>Tabla1[[#This Row],[VENTAS]]-Tabla1[[#This Row],[COMPRAS]]-Tabla1[[#This Row],[GASTOS]]</f>
        <v>378.89599999999996</v>
      </c>
    </row>
    <row r="10" spans="1:5" x14ac:dyDescent="0.3">
      <c r="A10" t="s">
        <v>27</v>
      </c>
      <c r="B10" s="2">
        <v>528.76</v>
      </c>
      <c r="C10" s="2">
        <v>423.12</v>
      </c>
      <c r="D10" s="2">
        <v>35.948</v>
      </c>
      <c r="E10" s="2">
        <f>Tabla1[[#This Row],[VENTAS]]-Tabla1[[#This Row],[COMPRAS]]-Tabla1[[#This Row],[GASTOS]]</f>
        <v>69.691999999999979</v>
      </c>
    </row>
    <row r="11" spans="1:5" x14ac:dyDescent="0.3">
      <c r="A11" t="s">
        <v>28</v>
      </c>
      <c r="B11" s="2">
        <v>3188.73</v>
      </c>
      <c r="C11" s="2">
        <v>195.36</v>
      </c>
      <c r="D11" s="2">
        <v>1257.268</v>
      </c>
      <c r="E11" s="2">
        <f>Tabla1[[#This Row],[VENTAS]]-Tabla1[[#This Row],[COMPRAS]]-Tabla1[[#This Row],[GASTOS]]</f>
        <v>1736.1019999999999</v>
      </c>
    </row>
    <row r="12" spans="1:5" x14ac:dyDescent="0.3">
      <c r="A12" t="s">
        <v>29</v>
      </c>
      <c r="B12" s="2">
        <v>263.81</v>
      </c>
      <c r="C12" s="2">
        <v>797.3</v>
      </c>
      <c r="D12" s="2">
        <v>149.9385</v>
      </c>
      <c r="E12" s="2">
        <f>Tabla1[[#This Row],[VENTAS]]-Tabla1[[#This Row],[COMPRAS]]-Tabla1[[#This Row],[GASTOS]]</f>
        <v>-683.42849999999999</v>
      </c>
    </row>
    <row r="13" spans="1:5" x14ac:dyDescent="0.3">
      <c r="A13" t="s">
        <v>30</v>
      </c>
      <c r="B13" s="2">
        <v>1473.81</v>
      </c>
      <c r="C13" s="2">
        <v>939.12</v>
      </c>
      <c r="D13" s="2">
        <v>920.13199999999995</v>
      </c>
      <c r="E13" s="2">
        <f>Tabla1[[#This Row],[VENTAS]]-Tabla1[[#This Row],[COMPRAS]]-Tabla1[[#This Row],[GASTOS]]</f>
        <v>-385.44200000000001</v>
      </c>
    </row>
    <row r="14" spans="1:5" x14ac:dyDescent="0.3">
      <c r="A14" t="s">
        <v>31</v>
      </c>
      <c r="B14" s="2">
        <v>1565.02</v>
      </c>
      <c r="C14" s="2">
        <v>542.16</v>
      </c>
      <c r="D14" s="2">
        <v>751.82050000000004</v>
      </c>
      <c r="E14" s="2">
        <f>Tabla1[[#This Row],[VENTAS]]-Tabla1[[#This Row],[COMPRAS]]-Tabla1[[#This Row],[GASTOS]]</f>
        <v>271.03949999999998</v>
      </c>
    </row>
    <row r="15" spans="1:5" x14ac:dyDescent="0.3">
      <c r="A15" t="s">
        <v>32</v>
      </c>
      <c r="B15" s="2">
        <v>750.44</v>
      </c>
      <c r="C15" s="2">
        <v>145.19999999999999</v>
      </c>
      <c r="D15" s="2">
        <v>112.898</v>
      </c>
      <c r="E15" s="2">
        <f>Tabla1[[#This Row],[VENTAS]]-Tabla1[[#This Row],[COMPRAS]]-Tabla1[[#This Row],[GASTOS]]</f>
        <v>492.34199999999998</v>
      </c>
    </row>
    <row r="16" spans="1:5" ht="18" x14ac:dyDescent="0.35">
      <c r="A16" s="28" t="s">
        <v>33</v>
      </c>
      <c r="B16" s="28"/>
      <c r="C16" s="28"/>
      <c r="D16" s="28"/>
      <c r="E16" s="9">
        <f>SUBTOTAL(109,Tabla1[GANANCIA])</f>
        <v>8507.1350000000002</v>
      </c>
    </row>
    <row r="19" spans="1:1" x14ac:dyDescent="0.3">
      <c r="A19" s="18" t="s">
        <v>34</v>
      </c>
    </row>
    <row r="20" spans="1:1" x14ac:dyDescent="0.3">
      <c r="A20" s="18" t="s">
        <v>35</v>
      </c>
    </row>
  </sheetData>
  <mergeCells count="2">
    <mergeCell ref="A1:E1"/>
    <mergeCell ref="A16:D16"/>
  </mergeCells>
  <conditionalFormatting sqref="D4:D15">
    <cfRule type="cellIs" dxfId="54" priority="6" operator="greaterThan">
      <formula>1000</formula>
    </cfRule>
    <cfRule type="cellIs" dxfId="53" priority="3" operator="greaterThan">
      <formula>1000</formula>
    </cfRule>
  </conditionalFormatting>
  <conditionalFormatting sqref="B4:B15">
    <cfRule type="cellIs" dxfId="44" priority="5" operator="greaterThan">
      <formula>3000</formula>
    </cfRule>
    <cfRule type="cellIs" dxfId="45" priority="4" operator="lessThan">
      <formula>1000</formula>
    </cfRule>
    <cfRule type="cellIs" dxfId="46" priority="2" operator="greaterThan">
      <formula>3000</formula>
    </cfRule>
    <cfRule type="cellIs" dxfId="47" priority="1" operator="lessThan">
      <formula>1000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selection activeCell="H14" sqref="H14"/>
    </sheetView>
  </sheetViews>
  <sheetFormatPr baseColWidth="10" defaultColWidth="11.44140625" defaultRowHeight="14.4" x14ac:dyDescent="0.3"/>
  <cols>
    <col min="1" max="1" width="11.5546875" style="5" customWidth="1"/>
    <col min="4" max="4" width="10.6640625" bestFit="1" customWidth="1"/>
    <col min="5" max="5" width="11.44140625" style="6"/>
  </cols>
  <sheetData>
    <row r="1" spans="1:6" ht="18" x14ac:dyDescent="0.35">
      <c r="A1" s="29" t="s">
        <v>36</v>
      </c>
      <c r="B1" s="29"/>
      <c r="C1" s="29"/>
      <c r="D1" s="29"/>
      <c r="E1" s="29"/>
      <c r="F1" s="29"/>
    </row>
    <row r="3" spans="1:6" ht="28.8" x14ac:dyDescent="0.3">
      <c r="A3" s="7" t="s">
        <v>37</v>
      </c>
      <c r="B3" s="7" t="s">
        <v>38</v>
      </c>
      <c r="C3" s="7" t="s">
        <v>39</v>
      </c>
      <c r="D3" s="7" t="s">
        <v>40</v>
      </c>
      <c r="E3" s="8" t="s">
        <v>41</v>
      </c>
      <c r="F3" s="7" t="s">
        <v>42</v>
      </c>
    </row>
    <row r="4" spans="1:6" x14ac:dyDescent="0.3">
      <c r="A4" s="10">
        <v>1</v>
      </c>
      <c r="B4" s="11" t="s">
        <v>43</v>
      </c>
      <c r="C4" s="12">
        <v>40000</v>
      </c>
      <c r="D4" s="13">
        <v>42838</v>
      </c>
      <c r="E4" s="14">
        <v>2</v>
      </c>
      <c r="F4" s="12">
        <f>C4/E4</f>
        <v>20000</v>
      </c>
    </row>
    <row r="5" spans="1:6" x14ac:dyDescent="0.3">
      <c r="A5" s="10">
        <v>2</v>
      </c>
      <c r="B5" s="11" t="s">
        <v>44</v>
      </c>
      <c r="C5" s="12">
        <v>35000</v>
      </c>
      <c r="D5" s="13">
        <v>42780</v>
      </c>
      <c r="E5" s="14">
        <v>5</v>
      </c>
      <c r="F5" s="12">
        <f t="shared" ref="F5:F19" si="0">C5/E5</f>
        <v>7000</v>
      </c>
    </row>
    <row r="6" spans="1:6" x14ac:dyDescent="0.3">
      <c r="A6" s="10">
        <v>3</v>
      </c>
      <c r="B6" s="11" t="s">
        <v>45</v>
      </c>
      <c r="C6" s="12">
        <v>20000</v>
      </c>
      <c r="D6" s="13">
        <v>42517</v>
      </c>
      <c r="E6" s="14">
        <v>2</v>
      </c>
      <c r="F6" s="12">
        <f t="shared" si="0"/>
        <v>10000</v>
      </c>
    </row>
    <row r="7" spans="1:6" x14ac:dyDescent="0.3">
      <c r="A7" s="10">
        <v>4</v>
      </c>
      <c r="B7" s="11" t="s">
        <v>46</v>
      </c>
      <c r="C7" s="12">
        <v>86500</v>
      </c>
      <c r="D7" s="13">
        <v>42707</v>
      </c>
      <c r="E7" s="14">
        <v>2</v>
      </c>
      <c r="F7" s="12">
        <f t="shared" si="0"/>
        <v>43250</v>
      </c>
    </row>
    <row r="8" spans="1:6" x14ac:dyDescent="0.3">
      <c r="A8" s="10">
        <v>5</v>
      </c>
      <c r="B8" s="11" t="s">
        <v>47</v>
      </c>
      <c r="C8" s="12">
        <v>86900</v>
      </c>
      <c r="D8" s="13">
        <v>42684</v>
      </c>
      <c r="E8" s="14">
        <v>2</v>
      </c>
      <c r="F8" s="12">
        <f t="shared" si="0"/>
        <v>43450</v>
      </c>
    </row>
    <row r="9" spans="1:6" x14ac:dyDescent="0.3">
      <c r="A9" s="10">
        <v>6</v>
      </c>
      <c r="B9" s="11" t="s">
        <v>48</v>
      </c>
      <c r="C9" s="12">
        <v>16000</v>
      </c>
      <c r="D9" s="13">
        <v>42826</v>
      </c>
      <c r="E9" s="14">
        <v>4</v>
      </c>
      <c r="F9" s="12">
        <f t="shared" si="0"/>
        <v>4000</v>
      </c>
    </row>
    <row r="10" spans="1:6" x14ac:dyDescent="0.3">
      <c r="A10" s="10">
        <v>7</v>
      </c>
      <c r="B10" s="11" t="s">
        <v>49</v>
      </c>
      <c r="C10" s="12">
        <v>90000</v>
      </c>
      <c r="D10" s="13">
        <v>42739</v>
      </c>
      <c r="E10" s="14">
        <v>3</v>
      </c>
      <c r="F10" s="12">
        <f t="shared" si="0"/>
        <v>30000</v>
      </c>
    </row>
    <row r="11" spans="1:6" x14ac:dyDescent="0.3">
      <c r="A11" s="10">
        <v>8</v>
      </c>
      <c r="B11" s="11" t="s">
        <v>50</v>
      </c>
      <c r="C11" s="12">
        <v>18000</v>
      </c>
      <c r="D11" s="13">
        <v>42740</v>
      </c>
      <c r="E11" s="14">
        <v>3</v>
      </c>
      <c r="F11" s="12">
        <f t="shared" si="0"/>
        <v>6000</v>
      </c>
    </row>
    <row r="12" spans="1:6" x14ac:dyDescent="0.3">
      <c r="A12" s="10">
        <v>9</v>
      </c>
      <c r="B12" s="11" t="s">
        <v>51</v>
      </c>
      <c r="C12" s="12">
        <v>25000</v>
      </c>
      <c r="D12" s="13">
        <v>42466</v>
      </c>
      <c r="E12" s="14">
        <v>5</v>
      </c>
      <c r="F12" s="12">
        <f t="shared" si="0"/>
        <v>5000</v>
      </c>
    </row>
    <row r="13" spans="1:6" x14ac:dyDescent="0.3">
      <c r="A13" s="10">
        <v>10</v>
      </c>
      <c r="B13" s="11" t="s">
        <v>52</v>
      </c>
      <c r="C13" s="12">
        <v>24000</v>
      </c>
      <c r="D13" s="13">
        <v>42773</v>
      </c>
      <c r="E13" s="14">
        <v>3</v>
      </c>
      <c r="F13" s="12">
        <f t="shared" si="0"/>
        <v>8000</v>
      </c>
    </row>
    <row r="14" spans="1:6" x14ac:dyDescent="0.3">
      <c r="A14" s="10">
        <v>11</v>
      </c>
      <c r="B14" s="11" t="s">
        <v>53</v>
      </c>
      <c r="C14" s="12">
        <v>21000</v>
      </c>
      <c r="D14" s="13">
        <v>42682</v>
      </c>
      <c r="E14" s="14">
        <v>3</v>
      </c>
      <c r="F14" s="12">
        <f t="shared" si="0"/>
        <v>7000</v>
      </c>
    </row>
    <row r="15" spans="1:6" x14ac:dyDescent="0.3">
      <c r="A15" s="10">
        <v>12</v>
      </c>
      <c r="B15" s="11" t="s">
        <v>54</v>
      </c>
      <c r="C15" s="12">
        <v>18000</v>
      </c>
      <c r="D15" s="13">
        <v>42834</v>
      </c>
      <c r="E15" s="14">
        <v>2</v>
      </c>
      <c r="F15" s="12">
        <f t="shared" si="0"/>
        <v>9000</v>
      </c>
    </row>
    <row r="16" spans="1:6" x14ac:dyDescent="0.3">
      <c r="A16" s="10">
        <v>13</v>
      </c>
      <c r="B16" s="11" t="s">
        <v>15</v>
      </c>
      <c r="C16" s="12">
        <v>15000</v>
      </c>
      <c r="D16" s="13">
        <v>42532</v>
      </c>
      <c r="E16" s="14">
        <v>2</v>
      </c>
      <c r="F16" s="12">
        <f t="shared" si="0"/>
        <v>7500</v>
      </c>
    </row>
    <row r="17" spans="1:6" x14ac:dyDescent="0.3">
      <c r="A17" s="10">
        <v>14</v>
      </c>
      <c r="B17" s="11" t="s">
        <v>55</v>
      </c>
      <c r="C17" s="12">
        <v>91000</v>
      </c>
      <c r="D17" s="13">
        <v>42475</v>
      </c>
      <c r="E17" s="14">
        <v>4</v>
      </c>
      <c r="F17" s="12">
        <f t="shared" si="0"/>
        <v>22750</v>
      </c>
    </row>
    <row r="18" spans="1:6" x14ac:dyDescent="0.3">
      <c r="A18" s="10">
        <v>15</v>
      </c>
      <c r="B18" s="11" t="s">
        <v>56</v>
      </c>
      <c r="C18" s="12">
        <v>100000</v>
      </c>
      <c r="D18" s="13">
        <v>42810</v>
      </c>
      <c r="E18" s="14">
        <v>5</v>
      </c>
      <c r="F18" s="12">
        <f t="shared" si="0"/>
        <v>20000</v>
      </c>
    </row>
    <row r="19" spans="1:6" x14ac:dyDescent="0.3">
      <c r="A19" s="10">
        <v>16</v>
      </c>
      <c r="B19" s="11" t="s">
        <v>57</v>
      </c>
      <c r="C19" s="12">
        <v>16000</v>
      </c>
      <c r="D19" s="13">
        <v>42599</v>
      </c>
      <c r="E19" s="14">
        <v>4</v>
      </c>
      <c r="F19" s="12">
        <f t="shared" si="0"/>
        <v>4000</v>
      </c>
    </row>
    <row r="21" spans="1:6" x14ac:dyDescent="0.3">
      <c r="A21" s="18" t="s">
        <v>58</v>
      </c>
    </row>
    <row r="22" spans="1:6" x14ac:dyDescent="0.3">
      <c r="A22" s="18" t="s">
        <v>59</v>
      </c>
    </row>
  </sheetData>
  <mergeCells count="1">
    <mergeCell ref="A1:F1"/>
  </mergeCells>
  <conditionalFormatting sqref="C4:C19">
    <cfRule type="cellIs" dxfId="80" priority="4" operator="between">
      <formula>80000</formula>
      <formula>90000</formula>
    </cfRule>
  </conditionalFormatting>
  <conditionalFormatting sqref="D4:D19">
    <cfRule type="timePeriod" dxfId="79" priority="3" timePeriod="today">
      <formula>FLOOR(D4,1)=TODAY()</formula>
    </cfRule>
    <cfRule type="top10" dxfId="78" priority="1" rank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zoomScale="154" zoomScaleNormal="154" workbookViewId="0">
      <selection activeCell="G5" sqref="G5"/>
    </sheetView>
  </sheetViews>
  <sheetFormatPr baseColWidth="10" defaultColWidth="11.44140625" defaultRowHeight="14.4" x14ac:dyDescent="0.3"/>
  <cols>
    <col min="1" max="1" width="8.6640625" style="5" customWidth="1"/>
    <col min="3" max="3" width="10.33203125" customWidth="1"/>
    <col min="4" max="4" width="13.5546875" customWidth="1"/>
    <col min="6" max="6" width="14.44140625" customWidth="1"/>
  </cols>
  <sheetData>
    <row r="1" spans="1:6" ht="23.4" x14ac:dyDescent="0.45">
      <c r="A1" s="30" t="s">
        <v>60</v>
      </c>
      <c r="B1" s="30"/>
      <c r="C1" s="30"/>
      <c r="D1" s="30"/>
      <c r="E1" s="30"/>
      <c r="F1" s="30"/>
    </row>
    <row r="3" spans="1:6" ht="28.8" x14ac:dyDescent="0.3">
      <c r="A3" s="16" t="s">
        <v>61</v>
      </c>
      <c r="B3" s="15" t="s">
        <v>62</v>
      </c>
      <c r="C3" s="15" t="s">
        <v>63</v>
      </c>
      <c r="D3" s="15" t="s">
        <v>64</v>
      </c>
      <c r="E3" s="15" t="s">
        <v>65</v>
      </c>
      <c r="F3" s="16" t="s">
        <v>66</v>
      </c>
    </row>
    <row r="4" spans="1:6" x14ac:dyDescent="0.3">
      <c r="A4" s="5">
        <v>4</v>
      </c>
      <c r="B4" t="s">
        <v>67</v>
      </c>
      <c r="C4" s="3">
        <v>12000</v>
      </c>
      <c r="D4" s="17">
        <v>48000</v>
      </c>
      <c r="E4" s="17">
        <f>Tabla2[[#This Row],[Monto Base]]*18%</f>
        <v>8640</v>
      </c>
      <c r="F4" s="17">
        <f>Tabla2[[#This Row],[I.V.A. (18%)]]+Tabla2[[#This Row],[Monto Base]]</f>
        <v>56640</v>
      </c>
    </row>
    <row r="5" spans="1:6" x14ac:dyDescent="0.3">
      <c r="A5" s="5">
        <v>2</v>
      </c>
      <c r="B5" t="s">
        <v>68</v>
      </c>
      <c r="C5" s="3">
        <v>36500</v>
      </c>
      <c r="D5" s="17">
        <v>73000</v>
      </c>
      <c r="E5" s="17">
        <f>Tabla2[[#This Row],[Monto Base]]*18%</f>
        <v>13140</v>
      </c>
      <c r="F5" s="17">
        <f>Tabla2[[#This Row],[I.V.A. (18%)]]+Tabla2[[#This Row],[Monto Base]]</f>
        <v>86140</v>
      </c>
    </row>
    <row r="6" spans="1:6" x14ac:dyDescent="0.3">
      <c r="A6" s="5">
        <v>1</v>
      </c>
      <c r="B6" t="s">
        <v>69</v>
      </c>
      <c r="C6" s="3">
        <v>43210</v>
      </c>
      <c r="D6" s="17">
        <v>43210</v>
      </c>
      <c r="E6" s="17">
        <f>Tabla2[[#This Row],[Monto Base]]*18%</f>
        <v>7777.7999999999993</v>
      </c>
      <c r="F6" s="17">
        <f>Tabla2[[#This Row],[I.V.A. (18%)]]+Tabla2[[#This Row],[Monto Base]]</f>
        <v>50987.8</v>
      </c>
    </row>
    <row r="7" spans="1:6" x14ac:dyDescent="0.3">
      <c r="A7" s="5">
        <v>3</v>
      </c>
      <c r="B7" t="s">
        <v>70</v>
      </c>
      <c r="C7" s="3">
        <v>4500</v>
      </c>
      <c r="D7" s="17">
        <v>13500</v>
      </c>
      <c r="E7" s="17">
        <f>Tabla2[[#This Row],[Monto Base]]*18%</f>
        <v>2430</v>
      </c>
      <c r="F7" s="17">
        <f>Tabla2[[#This Row],[I.V.A. (18%)]]+Tabla2[[#This Row],[Monto Base]]</f>
        <v>15930</v>
      </c>
    </row>
    <row r="8" spans="1:6" x14ac:dyDescent="0.3">
      <c r="A8" s="31" t="s">
        <v>71</v>
      </c>
      <c r="B8" s="31"/>
      <c r="C8" s="31"/>
      <c r="D8" s="31"/>
      <c r="E8" s="31"/>
      <c r="F8" s="20">
        <f>SUBTOTAL(109,Tabla2[Total por Producto])</f>
        <v>209697.8</v>
      </c>
    </row>
    <row r="10" spans="1:6" x14ac:dyDescent="0.3">
      <c r="A10" s="18" t="s">
        <v>72</v>
      </c>
    </row>
    <row r="11" spans="1:6" x14ac:dyDescent="0.3">
      <c r="A11" s="18" t="s">
        <v>73</v>
      </c>
    </row>
    <row r="12" spans="1:6" x14ac:dyDescent="0.3">
      <c r="A12" s="18"/>
    </row>
    <row r="13" spans="1:6" x14ac:dyDescent="0.3">
      <c r="A13" s="19"/>
    </row>
  </sheetData>
  <mergeCells count="2">
    <mergeCell ref="A1:F1"/>
    <mergeCell ref="A8:E8"/>
  </mergeCells>
  <conditionalFormatting sqref="C4:C7">
    <cfRule type="top10" dxfId="77" priority="2" rank="2"/>
  </conditionalFormatting>
  <conditionalFormatting sqref="F4:F7">
    <cfRule type="top10" dxfId="76" priority="1" rank="1"/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zoomScale="136" zoomScaleNormal="136" workbookViewId="0">
      <selection activeCell="I4" sqref="I4"/>
    </sheetView>
  </sheetViews>
  <sheetFormatPr baseColWidth="10" defaultColWidth="11.44140625" defaultRowHeight="14.4" x14ac:dyDescent="0.3"/>
  <cols>
    <col min="1" max="1" width="12.88671875" customWidth="1"/>
    <col min="2" max="2" width="13" customWidth="1"/>
    <col min="3" max="3" width="14.44140625" customWidth="1"/>
    <col min="5" max="5" width="15.88671875" customWidth="1"/>
    <col min="6" max="6" width="16.33203125" style="5" customWidth="1"/>
  </cols>
  <sheetData>
    <row r="1" spans="1:6" x14ac:dyDescent="0.3">
      <c r="A1" s="32" t="s">
        <v>74</v>
      </c>
      <c r="B1" s="32"/>
      <c r="C1" s="32"/>
      <c r="D1" s="32"/>
      <c r="E1" s="32"/>
      <c r="F1" s="32"/>
    </row>
    <row r="3" spans="1:6" ht="28.8" x14ac:dyDescent="0.3">
      <c r="A3" s="15" t="s">
        <v>75</v>
      </c>
      <c r="B3" s="15" t="s">
        <v>76</v>
      </c>
      <c r="C3" s="15" t="s">
        <v>77</v>
      </c>
      <c r="D3" s="15" t="s">
        <v>78</v>
      </c>
      <c r="E3" s="15" t="s">
        <v>79</v>
      </c>
      <c r="F3" s="16" t="s">
        <v>80</v>
      </c>
    </row>
    <row r="4" spans="1:6" x14ac:dyDescent="0.3">
      <c r="A4" s="5">
        <v>1</v>
      </c>
      <c r="B4" t="s">
        <v>49</v>
      </c>
      <c r="C4" s="2">
        <v>100000</v>
      </c>
      <c r="D4" s="21">
        <f>Tabla3[[#This Row],[VENTAS BRUTAS]]*14%</f>
        <v>14000.000000000002</v>
      </c>
      <c r="E4" s="21">
        <f>Tabla3[[#This Row],[VENTAS BRUTAS]]*2%</f>
        <v>2000</v>
      </c>
      <c r="F4" s="22">
        <f>Tabla3[[#This Row],[VENTAS BRUTAS]]-Tabla3[[#This Row],[IVA (14%)]]-Tabla3[[#This Row],[DESCUENTO (2%)]]</f>
        <v>84000</v>
      </c>
    </row>
    <row r="5" spans="1:6" x14ac:dyDescent="0.3">
      <c r="A5" s="5">
        <v>2</v>
      </c>
      <c r="B5" t="s">
        <v>81</v>
      </c>
      <c r="C5" s="2">
        <v>10000</v>
      </c>
      <c r="D5" s="21">
        <f>Tabla3[[#This Row],[VENTAS BRUTAS]]*14%</f>
        <v>1400.0000000000002</v>
      </c>
      <c r="E5" s="21">
        <f>Tabla3[[#This Row],[VENTAS BRUTAS]]*2%</f>
        <v>200</v>
      </c>
      <c r="F5" s="22">
        <f>Tabla3[[#This Row],[VENTAS BRUTAS]]-Tabla3[[#This Row],[IVA (14%)]]-Tabla3[[#This Row],[DESCUENTO (2%)]]</f>
        <v>8400</v>
      </c>
    </row>
    <row r="6" spans="1:6" x14ac:dyDescent="0.3">
      <c r="A6" s="5">
        <v>3</v>
      </c>
      <c r="B6" t="s">
        <v>82</v>
      </c>
      <c r="C6" s="2">
        <v>36548.97</v>
      </c>
      <c r="D6" s="21">
        <f>Tabla3[[#This Row],[VENTAS BRUTAS]]*14%</f>
        <v>5116.8558000000003</v>
      </c>
      <c r="E6" s="21">
        <f>Tabla3[[#This Row],[VENTAS BRUTAS]]*2%</f>
        <v>730.97940000000006</v>
      </c>
      <c r="F6" s="22">
        <f>Tabla3[[#This Row],[VENTAS BRUTAS]]-Tabla3[[#This Row],[IVA (14%)]]-Tabla3[[#This Row],[DESCUENTO (2%)]]</f>
        <v>30701.1348</v>
      </c>
    </row>
    <row r="7" spans="1:6" x14ac:dyDescent="0.3">
      <c r="A7" s="5">
        <v>4</v>
      </c>
      <c r="B7" t="s">
        <v>83</v>
      </c>
      <c r="C7" s="2">
        <v>24379.49</v>
      </c>
      <c r="D7" s="21">
        <f>Tabla3[[#This Row],[VENTAS BRUTAS]]*14%</f>
        <v>3413.1286000000005</v>
      </c>
      <c r="E7" s="21">
        <f>Tabla3[[#This Row],[VENTAS BRUTAS]]*2%</f>
        <v>487.58980000000003</v>
      </c>
      <c r="F7" s="22">
        <f>Tabla3[[#This Row],[VENTAS BRUTAS]]-Tabla3[[#This Row],[IVA (14%)]]-Tabla3[[#This Row],[DESCUENTO (2%)]]</f>
        <v>20478.7716</v>
      </c>
    </row>
    <row r="8" spans="1:6" x14ac:dyDescent="0.3">
      <c r="A8" s="5">
        <v>5</v>
      </c>
      <c r="B8" t="s">
        <v>51</v>
      </c>
      <c r="C8" s="2">
        <v>37539.74</v>
      </c>
      <c r="D8" s="21">
        <f>Tabla3[[#This Row],[VENTAS BRUTAS]]*14%</f>
        <v>5255.5636000000004</v>
      </c>
      <c r="E8" s="21">
        <f>Tabla3[[#This Row],[VENTAS BRUTAS]]*2%</f>
        <v>750.79480000000001</v>
      </c>
      <c r="F8" s="22">
        <f>Tabla3[[#This Row],[VENTAS BRUTAS]]-Tabla3[[#This Row],[IVA (14%)]]-Tabla3[[#This Row],[DESCUENTO (2%)]]</f>
        <v>31533.381599999997</v>
      </c>
    </row>
    <row r="9" spans="1:6" x14ac:dyDescent="0.3">
      <c r="A9" s="5">
        <v>6</v>
      </c>
      <c r="B9" t="s">
        <v>52</v>
      </c>
      <c r="C9" s="2">
        <v>24377.51</v>
      </c>
      <c r="D9" s="21">
        <f>Tabla3[[#This Row],[VENTAS BRUTAS]]*14%</f>
        <v>3412.8514</v>
      </c>
      <c r="E9" s="21">
        <f>Tabla3[[#This Row],[VENTAS BRUTAS]]*2%</f>
        <v>487.55019999999996</v>
      </c>
      <c r="F9" s="22">
        <f>Tabla3[[#This Row],[VENTAS BRUTAS]]-Tabla3[[#This Row],[IVA (14%)]]-Tabla3[[#This Row],[DESCUENTO (2%)]]</f>
        <v>20477.108399999997</v>
      </c>
    </row>
    <row r="10" spans="1:6" x14ac:dyDescent="0.3">
      <c r="A10" s="5">
        <v>7</v>
      </c>
      <c r="B10" t="s">
        <v>53</v>
      </c>
      <c r="C10" s="2">
        <v>23861.59</v>
      </c>
      <c r="D10" s="21">
        <f>Tabla3[[#This Row],[VENTAS BRUTAS]]*14%</f>
        <v>3340.6226000000001</v>
      </c>
      <c r="E10" s="21">
        <f>Tabla3[[#This Row],[VENTAS BRUTAS]]*2%</f>
        <v>477.23180000000002</v>
      </c>
      <c r="F10" s="22">
        <f>Tabla3[[#This Row],[VENTAS BRUTAS]]-Tabla3[[#This Row],[IVA (14%)]]-Tabla3[[#This Row],[DESCUENTO (2%)]]</f>
        <v>20043.7356</v>
      </c>
    </row>
    <row r="11" spans="1:6" x14ac:dyDescent="0.3">
      <c r="A11" s="5">
        <v>8</v>
      </c>
      <c r="B11" t="s">
        <v>54</v>
      </c>
      <c r="C11" s="2">
        <v>24377.360000000001</v>
      </c>
      <c r="D11" s="21">
        <f>Tabla3[[#This Row],[VENTAS BRUTAS]]*14%</f>
        <v>3412.8304000000003</v>
      </c>
      <c r="E11" s="21">
        <f>Tabla3[[#This Row],[VENTAS BRUTAS]]*2%</f>
        <v>487.54720000000003</v>
      </c>
      <c r="F11" s="22">
        <f>Tabla3[[#This Row],[VENTAS BRUTAS]]-Tabla3[[#This Row],[IVA (14%)]]-Tabla3[[#This Row],[DESCUENTO (2%)]]</f>
        <v>20476.982400000001</v>
      </c>
    </row>
    <row r="12" spans="1:6" x14ac:dyDescent="0.3">
      <c r="A12" s="5">
        <v>9</v>
      </c>
      <c r="B12" t="s">
        <v>15</v>
      </c>
      <c r="C12" s="2">
        <v>37536.78</v>
      </c>
      <c r="D12" s="21">
        <f>Tabla3[[#This Row],[VENTAS BRUTAS]]*14%</f>
        <v>5255.1492000000007</v>
      </c>
      <c r="E12" s="21">
        <f>Tabla3[[#This Row],[VENTAS BRUTAS]]*2%</f>
        <v>750.73559999999998</v>
      </c>
      <c r="F12" s="22">
        <f>Tabla3[[#This Row],[VENTAS BRUTAS]]-Tabla3[[#This Row],[IVA (14%)]]-Tabla3[[#This Row],[DESCUENTO (2%)]]</f>
        <v>31530.895199999999</v>
      </c>
    </row>
    <row r="13" spans="1:6" x14ac:dyDescent="0.3">
      <c r="A13" s="5">
        <v>10</v>
      </c>
      <c r="B13" t="s">
        <v>55</v>
      </c>
      <c r="C13" s="2">
        <v>50696.2</v>
      </c>
      <c r="D13" s="21">
        <f>Tabla3[[#This Row],[VENTAS BRUTAS]]*14%</f>
        <v>7097.4679999999998</v>
      </c>
      <c r="E13" s="21">
        <f>Tabla3[[#This Row],[VENTAS BRUTAS]]*2%</f>
        <v>1013.924</v>
      </c>
      <c r="F13" s="22">
        <f>Tabla3[[#This Row],[VENTAS BRUTAS]]-Tabla3[[#This Row],[IVA (14%)]]-Tabla3[[#This Row],[DESCUENTO (2%)]]</f>
        <v>42584.807999999997</v>
      </c>
    </row>
    <row r="16" spans="1:6" x14ac:dyDescent="0.3">
      <c r="A16" s="19" t="s">
        <v>84</v>
      </c>
    </row>
    <row r="17" spans="1:1" x14ac:dyDescent="0.3">
      <c r="A17" s="19" t="s">
        <v>85</v>
      </c>
    </row>
  </sheetData>
  <mergeCells count="1">
    <mergeCell ref="A1:F1"/>
  </mergeCells>
  <conditionalFormatting sqref="F4:F1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{7E927234-5D0D-43A3-8B35-69286504AF74}</x14:id>
        </ext>
      </extLst>
    </cfRule>
  </conditionalFormatting>
  <conditionalFormatting sqref="C4:C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927234-5D0D-43A3-8B35-69286504AF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F4:F13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E0438-5CF4-44A4-89AF-FCF78D5EC9FE}">
  <dimension ref="A1:F58"/>
  <sheetViews>
    <sheetView showGridLines="0" tabSelected="1" zoomScale="160" zoomScaleNormal="160" workbookViewId="0">
      <selection activeCell="D4" sqref="D4"/>
    </sheetView>
  </sheetViews>
  <sheetFormatPr baseColWidth="10" defaultColWidth="11.44140625" defaultRowHeight="14.4" zeroHeight="1" x14ac:dyDescent="0.3"/>
  <cols>
    <col min="1" max="1" width="11.44140625" customWidth="1"/>
    <col min="2" max="2" width="11.88671875" bestFit="1" customWidth="1"/>
    <col min="3" max="4" width="13.33203125" customWidth="1"/>
    <col min="5" max="5" width="11.44140625" customWidth="1"/>
    <col min="6" max="6" width="14.5546875" customWidth="1"/>
  </cols>
  <sheetData>
    <row r="1" spans="1:6" x14ac:dyDescent="0.3"/>
    <row r="2" spans="1:6" x14ac:dyDescent="0.3">
      <c r="A2" s="18"/>
    </row>
    <row r="3" spans="1:6" x14ac:dyDescent="0.3">
      <c r="A3" s="18"/>
    </row>
    <row r="4" spans="1:6" x14ac:dyDescent="0.3">
      <c r="A4" s="18"/>
      <c r="B4" s="18" t="s">
        <v>86</v>
      </c>
    </row>
    <row r="5" spans="1:6" x14ac:dyDescent="0.3"/>
    <row r="6" spans="1:6" x14ac:dyDescent="0.3">
      <c r="A6" s="23" t="s">
        <v>87</v>
      </c>
      <c r="B6" s="23" t="s">
        <v>88</v>
      </c>
      <c r="C6" s="23" t="s">
        <v>89</v>
      </c>
      <c r="D6" s="23" t="s">
        <v>90</v>
      </c>
      <c r="E6" s="23" t="s">
        <v>91</v>
      </c>
      <c r="F6" s="24" t="s">
        <v>92</v>
      </c>
    </row>
    <row r="7" spans="1:6" x14ac:dyDescent="0.3">
      <c r="A7" s="25">
        <v>1</v>
      </c>
      <c r="B7" s="25" t="s">
        <v>93</v>
      </c>
      <c r="C7" s="25" t="s">
        <v>94</v>
      </c>
      <c r="D7" s="25">
        <v>25</v>
      </c>
      <c r="E7" s="33">
        <v>5</v>
      </c>
      <c r="F7" s="25" t="s">
        <v>95</v>
      </c>
    </row>
    <row r="8" spans="1:6" x14ac:dyDescent="0.3">
      <c r="A8" s="25">
        <v>2</v>
      </c>
      <c r="B8" s="25" t="s">
        <v>96</v>
      </c>
      <c r="C8" s="25" t="s">
        <v>94</v>
      </c>
      <c r="D8" s="25">
        <v>20</v>
      </c>
      <c r="E8" s="33">
        <v>6</v>
      </c>
      <c r="F8" s="25" t="s">
        <v>95</v>
      </c>
    </row>
    <row r="9" spans="1:6" x14ac:dyDescent="0.3">
      <c r="A9" s="25">
        <v>3</v>
      </c>
      <c r="B9" s="25" t="s">
        <v>97</v>
      </c>
      <c r="C9" s="25" t="s">
        <v>98</v>
      </c>
      <c r="D9" s="25">
        <v>21</v>
      </c>
      <c r="E9" s="33">
        <v>18</v>
      </c>
      <c r="F9" s="25" t="s">
        <v>99</v>
      </c>
    </row>
    <row r="10" spans="1:6" x14ac:dyDescent="0.3">
      <c r="A10" s="25">
        <v>4</v>
      </c>
      <c r="B10" s="25" t="s">
        <v>100</v>
      </c>
      <c r="C10" s="25" t="s">
        <v>98</v>
      </c>
      <c r="D10" s="25">
        <v>22</v>
      </c>
      <c r="E10" s="33">
        <v>14</v>
      </c>
      <c r="F10" s="25" t="s">
        <v>99</v>
      </c>
    </row>
    <row r="11" spans="1:6" x14ac:dyDescent="0.3">
      <c r="A11" s="25">
        <v>5</v>
      </c>
      <c r="B11" s="25" t="s">
        <v>93</v>
      </c>
      <c r="C11" s="25" t="s">
        <v>101</v>
      </c>
      <c r="D11" s="25">
        <v>36</v>
      </c>
      <c r="E11" s="33">
        <v>8</v>
      </c>
      <c r="F11" s="25" t="s">
        <v>99</v>
      </c>
    </row>
    <row r="12" spans="1:6" x14ac:dyDescent="0.3">
      <c r="A12" s="25">
        <v>6</v>
      </c>
      <c r="B12" s="25" t="s">
        <v>97</v>
      </c>
      <c r="C12" s="25" t="s">
        <v>98</v>
      </c>
      <c r="D12" s="25">
        <v>28</v>
      </c>
      <c r="E12" s="33">
        <v>15</v>
      </c>
      <c r="F12" s="25" t="s">
        <v>95</v>
      </c>
    </row>
    <row r="13" spans="1:6" x14ac:dyDescent="0.3">
      <c r="A13" s="25">
        <v>7</v>
      </c>
      <c r="B13" s="25" t="s">
        <v>102</v>
      </c>
      <c r="C13" s="25" t="s">
        <v>94</v>
      </c>
      <c r="D13" s="25">
        <v>27</v>
      </c>
      <c r="E13" s="33">
        <v>5</v>
      </c>
      <c r="F13" s="25" t="s">
        <v>95</v>
      </c>
    </row>
    <row r="14" spans="1:6" x14ac:dyDescent="0.3">
      <c r="A14" s="25">
        <v>8</v>
      </c>
      <c r="B14" s="25" t="s">
        <v>103</v>
      </c>
      <c r="C14" s="25" t="s">
        <v>101</v>
      </c>
      <c r="D14" s="25">
        <v>27</v>
      </c>
      <c r="E14" s="33">
        <v>5</v>
      </c>
      <c r="F14" s="25" t="s">
        <v>99</v>
      </c>
    </row>
    <row r="15" spans="1:6" x14ac:dyDescent="0.3">
      <c r="A15" s="25">
        <v>9</v>
      </c>
      <c r="B15" s="25" t="s">
        <v>103</v>
      </c>
      <c r="C15" s="25" t="s">
        <v>98</v>
      </c>
      <c r="D15" s="25">
        <v>35</v>
      </c>
      <c r="E15" s="33">
        <v>9</v>
      </c>
      <c r="F15" s="25" t="s">
        <v>99</v>
      </c>
    </row>
    <row r="16" spans="1:6" x14ac:dyDescent="0.3">
      <c r="A16" s="25">
        <v>10</v>
      </c>
      <c r="B16" s="25" t="s">
        <v>96</v>
      </c>
      <c r="C16" s="25" t="s">
        <v>101</v>
      </c>
      <c r="D16" s="25">
        <v>21</v>
      </c>
      <c r="E16" s="33">
        <v>11</v>
      </c>
      <c r="F16" s="25" t="s">
        <v>95</v>
      </c>
    </row>
    <row r="17" spans="1:6" x14ac:dyDescent="0.3">
      <c r="A17" s="25">
        <v>11</v>
      </c>
      <c r="B17" s="25" t="s">
        <v>104</v>
      </c>
      <c r="C17" s="25" t="s">
        <v>98</v>
      </c>
      <c r="D17" s="25">
        <v>23</v>
      </c>
      <c r="E17" s="33">
        <v>13</v>
      </c>
      <c r="F17" s="25" t="s">
        <v>99</v>
      </c>
    </row>
    <row r="18" spans="1:6" x14ac:dyDescent="0.3">
      <c r="A18" s="25">
        <v>12</v>
      </c>
      <c r="B18" s="25" t="s">
        <v>105</v>
      </c>
      <c r="C18" s="25" t="s">
        <v>98</v>
      </c>
      <c r="D18" s="25">
        <v>27</v>
      </c>
      <c r="E18" s="33">
        <v>18</v>
      </c>
      <c r="F18" s="25" t="s">
        <v>95</v>
      </c>
    </row>
    <row r="19" spans="1:6" x14ac:dyDescent="0.3">
      <c r="A19" s="25">
        <v>13</v>
      </c>
      <c r="B19" s="25" t="s">
        <v>97</v>
      </c>
      <c r="C19" s="25" t="s">
        <v>94</v>
      </c>
      <c r="D19" s="25">
        <v>17</v>
      </c>
      <c r="E19" s="33">
        <v>10</v>
      </c>
      <c r="F19" s="25" t="s">
        <v>99</v>
      </c>
    </row>
    <row r="20" spans="1:6" x14ac:dyDescent="0.3">
      <c r="A20" s="25">
        <v>14</v>
      </c>
      <c r="B20" s="25" t="s">
        <v>103</v>
      </c>
      <c r="C20" s="25" t="s">
        <v>94</v>
      </c>
      <c r="D20" s="25">
        <v>23</v>
      </c>
      <c r="E20" s="33">
        <v>9</v>
      </c>
      <c r="F20" s="25" t="s">
        <v>95</v>
      </c>
    </row>
    <row r="21" spans="1:6" x14ac:dyDescent="0.3">
      <c r="A21" s="25">
        <v>15</v>
      </c>
      <c r="B21" s="25" t="s">
        <v>106</v>
      </c>
      <c r="C21" s="25" t="s">
        <v>101</v>
      </c>
      <c r="D21" s="25">
        <v>34</v>
      </c>
      <c r="E21" s="33">
        <v>13</v>
      </c>
      <c r="F21" s="25" t="s">
        <v>95</v>
      </c>
    </row>
    <row r="22" spans="1:6" x14ac:dyDescent="0.3">
      <c r="A22" s="25">
        <v>16</v>
      </c>
      <c r="B22" s="25" t="s">
        <v>107</v>
      </c>
      <c r="C22" s="25" t="s">
        <v>94</v>
      </c>
      <c r="D22" s="25">
        <v>18</v>
      </c>
      <c r="E22" s="33">
        <v>13</v>
      </c>
      <c r="F22" s="25" t="s">
        <v>95</v>
      </c>
    </row>
    <row r="23" spans="1:6" x14ac:dyDescent="0.3">
      <c r="A23" s="25">
        <v>17</v>
      </c>
      <c r="B23" s="25" t="s">
        <v>107</v>
      </c>
      <c r="C23" s="25" t="s">
        <v>94</v>
      </c>
      <c r="D23" s="25">
        <v>36</v>
      </c>
      <c r="E23" s="33">
        <v>10</v>
      </c>
      <c r="F23" s="25" t="s">
        <v>99</v>
      </c>
    </row>
    <row r="24" spans="1:6" x14ac:dyDescent="0.3">
      <c r="A24" s="25">
        <v>18</v>
      </c>
      <c r="B24" s="25" t="s">
        <v>102</v>
      </c>
      <c r="C24" s="25" t="s">
        <v>101</v>
      </c>
      <c r="D24" s="25">
        <v>19</v>
      </c>
      <c r="E24" s="33">
        <v>13</v>
      </c>
      <c r="F24" s="25" t="s">
        <v>99</v>
      </c>
    </row>
    <row r="25" spans="1:6" x14ac:dyDescent="0.3">
      <c r="A25" s="25">
        <v>19</v>
      </c>
      <c r="B25" s="25" t="s">
        <v>107</v>
      </c>
      <c r="C25" s="25" t="s">
        <v>101</v>
      </c>
      <c r="D25" s="25">
        <v>30</v>
      </c>
      <c r="E25" s="33">
        <v>9</v>
      </c>
      <c r="F25" s="25" t="s">
        <v>99</v>
      </c>
    </row>
    <row r="26" spans="1:6" x14ac:dyDescent="0.3">
      <c r="A26" s="25">
        <v>20</v>
      </c>
      <c r="B26" s="25" t="s">
        <v>106</v>
      </c>
      <c r="C26" s="25" t="s">
        <v>98</v>
      </c>
      <c r="D26" s="25">
        <v>20</v>
      </c>
      <c r="E26" s="33">
        <v>13</v>
      </c>
      <c r="F26" s="25" t="s">
        <v>95</v>
      </c>
    </row>
    <row r="27" spans="1:6" x14ac:dyDescent="0.3">
      <c r="A27" s="25">
        <v>21</v>
      </c>
      <c r="B27" s="25" t="s">
        <v>97</v>
      </c>
      <c r="C27" s="25" t="s">
        <v>98</v>
      </c>
      <c r="D27" s="25">
        <v>32</v>
      </c>
      <c r="E27" s="33">
        <v>10</v>
      </c>
      <c r="F27" s="25" t="s">
        <v>99</v>
      </c>
    </row>
    <row r="28" spans="1:6" x14ac:dyDescent="0.3">
      <c r="A28" s="25">
        <v>22</v>
      </c>
      <c r="B28" s="25" t="s">
        <v>100</v>
      </c>
      <c r="C28" s="25" t="s">
        <v>94</v>
      </c>
      <c r="D28" s="25">
        <v>34</v>
      </c>
      <c r="E28" s="33">
        <v>18</v>
      </c>
      <c r="F28" s="25" t="s">
        <v>95</v>
      </c>
    </row>
    <row r="29" spans="1:6" x14ac:dyDescent="0.3">
      <c r="A29" s="25">
        <v>23</v>
      </c>
      <c r="B29" s="25" t="s">
        <v>97</v>
      </c>
      <c r="C29" s="25" t="s">
        <v>101</v>
      </c>
      <c r="D29" s="25">
        <v>27</v>
      </c>
      <c r="E29" s="33">
        <v>15</v>
      </c>
      <c r="F29" s="25" t="s">
        <v>99</v>
      </c>
    </row>
    <row r="30" spans="1:6" x14ac:dyDescent="0.3">
      <c r="A30" s="25">
        <v>24</v>
      </c>
      <c r="B30" s="25" t="s">
        <v>102</v>
      </c>
      <c r="C30" s="25" t="s">
        <v>98</v>
      </c>
      <c r="D30" s="25">
        <v>25</v>
      </c>
      <c r="E30" s="33">
        <v>5</v>
      </c>
      <c r="F30" s="25" t="s">
        <v>99</v>
      </c>
    </row>
    <row r="31" spans="1:6" x14ac:dyDescent="0.3">
      <c r="A31" s="25">
        <v>25</v>
      </c>
      <c r="B31" s="25" t="s">
        <v>100</v>
      </c>
      <c r="C31" s="25" t="s">
        <v>98</v>
      </c>
      <c r="D31" s="25">
        <v>20</v>
      </c>
      <c r="E31" s="33">
        <v>7</v>
      </c>
      <c r="F31" s="25" t="s">
        <v>95</v>
      </c>
    </row>
    <row r="32" spans="1:6" x14ac:dyDescent="0.3">
      <c r="A32" s="25">
        <v>26</v>
      </c>
      <c r="B32" s="25" t="s">
        <v>107</v>
      </c>
      <c r="C32" s="25" t="s">
        <v>108</v>
      </c>
      <c r="D32" s="25">
        <v>32</v>
      </c>
      <c r="E32" s="33">
        <v>11</v>
      </c>
      <c r="F32" s="25" t="s">
        <v>99</v>
      </c>
    </row>
    <row r="33" spans="1:6" x14ac:dyDescent="0.3">
      <c r="A33" s="25">
        <v>27</v>
      </c>
      <c r="B33" s="25" t="s">
        <v>93</v>
      </c>
      <c r="C33" s="25" t="s">
        <v>98</v>
      </c>
      <c r="D33" s="25">
        <v>33</v>
      </c>
      <c r="E33" s="33">
        <v>10</v>
      </c>
      <c r="F33" s="25" t="s">
        <v>95</v>
      </c>
    </row>
    <row r="34" spans="1:6" x14ac:dyDescent="0.3">
      <c r="A34" s="25">
        <v>28</v>
      </c>
      <c r="B34" s="25" t="s">
        <v>93</v>
      </c>
      <c r="C34" s="25" t="s">
        <v>98</v>
      </c>
      <c r="D34" s="25">
        <v>18</v>
      </c>
      <c r="E34" s="33">
        <v>17</v>
      </c>
      <c r="F34" s="25" t="s">
        <v>99</v>
      </c>
    </row>
    <row r="35" spans="1:6" x14ac:dyDescent="0.3">
      <c r="A35" s="25">
        <v>29</v>
      </c>
      <c r="B35" s="25" t="s">
        <v>102</v>
      </c>
      <c r="C35" s="25" t="s">
        <v>101</v>
      </c>
      <c r="D35" s="25">
        <v>27</v>
      </c>
      <c r="E35" s="33">
        <v>7</v>
      </c>
      <c r="F35" s="25" t="s">
        <v>99</v>
      </c>
    </row>
    <row r="36" spans="1:6" x14ac:dyDescent="0.3">
      <c r="A36" s="25">
        <v>30</v>
      </c>
      <c r="B36" s="25" t="s">
        <v>93</v>
      </c>
      <c r="C36" s="25" t="s">
        <v>94</v>
      </c>
      <c r="D36" s="25">
        <v>18</v>
      </c>
      <c r="E36" s="33">
        <v>10</v>
      </c>
      <c r="F36" s="25" t="s">
        <v>99</v>
      </c>
    </row>
    <row r="37" spans="1:6" x14ac:dyDescent="0.3">
      <c r="A37" s="25">
        <v>31</v>
      </c>
      <c r="B37" s="25" t="s">
        <v>93</v>
      </c>
      <c r="C37" s="25" t="s">
        <v>108</v>
      </c>
      <c r="D37" s="25">
        <v>31</v>
      </c>
      <c r="E37" s="33">
        <v>11</v>
      </c>
      <c r="F37" s="25" t="s">
        <v>95</v>
      </c>
    </row>
    <row r="38" spans="1:6" x14ac:dyDescent="0.3">
      <c r="A38" s="25">
        <v>32</v>
      </c>
      <c r="B38" s="25" t="s">
        <v>104</v>
      </c>
      <c r="C38" s="25" t="s">
        <v>94</v>
      </c>
      <c r="D38" s="25">
        <v>33</v>
      </c>
      <c r="E38" s="33">
        <v>13</v>
      </c>
      <c r="F38" s="25" t="s">
        <v>99</v>
      </c>
    </row>
    <row r="39" spans="1:6" x14ac:dyDescent="0.3">
      <c r="A39" s="25">
        <v>33</v>
      </c>
      <c r="B39" s="25" t="s">
        <v>93</v>
      </c>
      <c r="C39" s="25" t="s">
        <v>108</v>
      </c>
      <c r="D39" s="25">
        <v>17</v>
      </c>
      <c r="E39" s="33">
        <v>5</v>
      </c>
      <c r="F39" s="25" t="s">
        <v>99</v>
      </c>
    </row>
    <row r="40" spans="1:6" x14ac:dyDescent="0.3">
      <c r="A40" s="25">
        <v>34</v>
      </c>
      <c r="B40" s="25" t="s">
        <v>93</v>
      </c>
      <c r="C40" s="25" t="s">
        <v>94</v>
      </c>
      <c r="D40" s="25">
        <v>22</v>
      </c>
      <c r="E40" s="33">
        <v>8</v>
      </c>
      <c r="F40" s="25" t="s">
        <v>99</v>
      </c>
    </row>
    <row r="41" spans="1:6" x14ac:dyDescent="0.3">
      <c r="A41" s="25">
        <v>35</v>
      </c>
      <c r="B41" s="25" t="s">
        <v>106</v>
      </c>
      <c r="C41" s="25" t="s">
        <v>94</v>
      </c>
      <c r="D41" s="25">
        <v>27</v>
      </c>
      <c r="E41" s="33">
        <v>8</v>
      </c>
      <c r="F41" s="25" t="s">
        <v>99</v>
      </c>
    </row>
    <row r="42" spans="1:6" x14ac:dyDescent="0.3">
      <c r="A42" s="25">
        <v>36</v>
      </c>
      <c r="B42" s="25" t="s">
        <v>93</v>
      </c>
      <c r="C42" s="25" t="s">
        <v>108</v>
      </c>
      <c r="D42" s="25">
        <v>24</v>
      </c>
      <c r="E42" s="33">
        <v>5</v>
      </c>
      <c r="F42" s="25" t="s">
        <v>95</v>
      </c>
    </row>
    <row r="43" spans="1:6" x14ac:dyDescent="0.3">
      <c r="A43" s="25">
        <v>37</v>
      </c>
      <c r="B43" s="25" t="s">
        <v>93</v>
      </c>
      <c r="C43" s="25" t="s">
        <v>98</v>
      </c>
      <c r="D43" s="25">
        <v>36</v>
      </c>
      <c r="E43" s="33">
        <v>16</v>
      </c>
      <c r="F43" s="25" t="s">
        <v>99</v>
      </c>
    </row>
    <row r="44" spans="1:6" x14ac:dyDescent="0.3">
      <c r="A44" s="25">
        <v>38</v>
      </c>
      <c r="B44" s="25" t="s">
        <v>102</v>
      </c>
      <c r="C44" s="25" t="s">
        <v>94</v>
      </c>
      <c r="D44" s="25">
        <v>22</v>
      </c>
      <c r="E44" s="33">
        <v>18</v>
      </c>
      <c r="F44" s="25" t="s">
        <v>99</v>
      </c>
    </row>
    <row r="45" spans="1:6" x14ac:dyDescent="0.3">
      <c r="A45" s="25">
        <v>39</v>
      </c>
      <c r="B45" s="25" t="s">
        <v>107</v>
      </c>
      <c r="C45" s="25" t="s">
        <v>98</v>
      </c>
      <c r="D45" s="25">
        <v>19</v>
      </c>
      <c r="E45" s="33">
        <v>14</v>
      </c>
      <c r="F45" s="25" t="s">
        <v>99</v>
      </c>
    </row>
    <row r="46" spans="1:6" x14ac:dyDescent="0.3">
      <c r="A46" s="25">
        <v>40</v>
      </c>
      <c r="B46" s="25" t="s">
        <v>96</v>
      </c>
      <c r="C46" s="25" t="s">
        <v>101</v>
      </c>
      <c r="D46" s="25">
        <v>35</v>
      </c>
      <c r="E46" s="33">
        <v>5</v>
      </c>
      <c r="F46" s="25" t="s">
        <v>95</v>
      </c>
    </row>
    <row r="47" spans="1:6" x14ac:dyDescent="0.3">
      <c r="A47" s="25">
        <v>41</v>
      </c>
      <c r="B47" s="25" t="s">
        <v>107</v>
      </c>
      <c r="C47" s="25" t="s">
        <v>94</v>
      </c>
      <c r="D47" s="25">
        <v>36</v>
      </c>
      <c r="E47" s="33">
        <v>10</v>
      </c>
      <c r="F47" s="25" t="s">
        <v>95</v>
      </c>
    </row>
    <row r="48" spans="1:6" x14ac:dyDescent="0.3">
      <c r="A48" s="25">
        <v>42</v>
      </c>
      <c r="B48" s="25" t="s">
        <v>104</v>
      </c>
      <c r="C48" s="25" t="s">
        <v>108</v>
      </c>
      <c r="D48" s="25">
        <v>24</v>
      </c>
      <c r="E48" s="33">
        <v>6</v>
      </c>
      <c r="F48" s="25" t="s">
        <v>95</v>
      </c>
    </row>
    <row r="49" spans="1:6" x14ac:dyDescent="0.3">
      <c r="A49" s="25">
        <v>43</v>
      </c>
      <c r="B49" s="25" t="s">
        <v>107</v>
      </c>
      <c r="C49" s="25" t="s">
        <v>101</v>
      </c>
      <c r="D49" s="25">
        <v>29</v>
      </c>
      <c r="E49" s="33">
        <v>6</v>
      </c>
      <c r="F49" s="25" t="s">
        <v>95</v>
      </c>
    </row>
    <row r="50" spans="1:6" x14ac:dyDescent="0.3">
      <c r="A50" s="25">
        <v>44</v>
      </c>
      <c r="B50" s="25" t="s">
        <v>107</v>
      </c>
      <c r="C50" s="25" t="s">
        <v>94</v>
      </c>
      <c r="D50" s="25">
        <v>29</v>
      </c>
      <c r="E50" s="33">
        <v>17</v>
      </c>
      <c r="F50" s="25" t="s">
        <v>99</v>
      </c>
    </row>
    <row r="51" spans="1:6" x14ac:dyDescent="0.3">
      <c r="A51" s="25">
        <v>45</v>
      </c>
      <c r="B51" s="25" t="s">
        <v>103</v>
      </c>
      <c r="C51" s="25" t="s">
        <v>101</v>
      </c>
      <c r="D51" s="25">
        <v>32</v>
      </c>
      <c r="E51" s="33">
        <v>15</v>
      </c>
      <c r="F51" s="25" t="s">
        <v>95</v>
      </c>
    </row>
    <row r="52" spans="1:6" x14ac:dyDescent="0.3">
      <c r="A52" s="25">
        <v>46</v>
      </c>
      <c r="B52" s="25" t="s">
        <v>107</v>
      </c>
      <c r="C52" s="25" t="s">
        <v>101</v>
      </c>
      <c r="D52" s="25">
        <v>33</v>
      </c>
      <c r="E52" s="33">
        <v>13</v>
      </c>
      <c r="F52" s="25" t="s">
        <v>95</v>
      </c>
    </row>
    <row r="53" spans="1:6" x14ac:dyDescent="0.3">
      <c r="A53" s="25">
        <v>47</v>
      </c>
      <c r="B53" s="25" t="s">
        <v>100</v>
      </c>
      <c r="C53" s="25" t="s">
        <v>108</v>
      </c>
      <c r="D53" s="25">
        <v>28</v>
      </c>
      <c r="E53" s="33">
        <v>11</v>
      </c>
      <c r="F53" s="25" t="s">
        <v>99</v>
      </c>
    </row>
    <row r="54" spans="1:6" x14ac:dyDescent="0.3">
      <c r="A54" s="25">
        <v>48</v>
      </c>
      <c r="B54" s="25" t="s">
        <v>97</v>
      </c>
      <c r="C54" s="25" t="s">
        <v>98</v>
      </c>
      <c r="D54" s="25">
        <v>21</v>
      </c>
      <c r="E54" s="33">
        <v>6</v>
      </c>
      <c r="F54" s="25" t="s">
        <v>99</v>
      </c>
    </row>
    <row r="55" spans="1:6" x14ac:dyDescent="0.3">
      <c r="A55" s="25">
        <v>49</v>
      </c>
      <c r="B55" s="25" t="s">
        <v>100</v>
      </c>
      <c r="C55" s="25" t="s">
        <v>94</v>
      </c>
      <c r="D55" s="25">
        <v>23</v>
      </c>
      <c r="E55" s="33">
        <v>15</v>
      </c>
      <c r="F55" s="25" t="s">
        <v>95</v>
      </c>
    </row>
    <row r="56" spans="1:6" x14ac:dyDescent="0.3">
      <c r="A56" s="25">
        <v>50</v>
      </c>
      <c r="B56" s="25" t="s">
        <v>102</v>
      </c>
      <c r="C56" s="25" t="s">
        <v>101</v>
      </c>
      <c r="D56" s="25">
        <v>21</v>
      </c>
      <c r="E56" s="33">
        <v>16</v>
      </c>
      <c r="F56" s="25" t="s">
        <v>99</v>
      </c>
    </row>
    <row r="57" spans="1:6" x14ac:dyDescent="0.3"/>
    <row r="58" spans="1:6" x14ac:dyDescent="0.3"/>
  </sheetData>
  <conditionalFormatting sqref="F7:F56">
    <cfRule type="containsText" dxfId="15" priority="9" operator="containsText" text="PAGO">
      <formula>NOT(ISERROR(SEARCH("PAGO",F7)))</formula>
    </cfRule>
    <cfRule type="containsText" dxfId="14" priority="8" operator="containsText" text="PAGO">
      <formula>NOT(ISERROR(SEARCH("PAGO",F7)))</formula>
    </cfRule>
    <cfRule type="containsText" dxfId="13" priority="7" operator="containsText" text="NO">
      <formula>NOT(ISERROR(SEARCH("NO",F7)))</formula>
    </cfRule>
  </conditionalFormatting>
  <conditionalFormatting sqref="E7:E56">
    <cfRule type="cellIs" dxfId="12" priority="6" operator="greaterThan">
      <formula>10</formula>
    </cfRule>
    <cfRule type="cellIs" dxfId="11" priority="5" operator="greaterThan">
      <formula>10</formula>
    </cfRule>
    <cfRule type="cellIs" dxfId="10" priority="4" operator="greaterThan">
      <formula>10</formula>
    </cfRule>
    <cfRule type="cellIs" dxfId="9" priority="3" operator="lessThan">
      <formula>11</formula>
    </cfRule>
    <cfRule type="cellIs" dxfId="8" priority="2" operator="lessThan">
      <formula>11</formula>
    </cfRule>
  </conditionalFormatting>
  <conditionalFormatting sqref="D7:D5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{5DC4F851-566B-4831-909B-F631058705DA}</x14:id>
        </ext>
      </extLst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C4F851-566B-4831-909B-F631058705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D7:D56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Hoja3</vt:lpstr>
      <vt:lpstr>Hoja4</vt:lpstr>
      <vt:lpstr>Hoja5</vt:lpstr>
      <vt:lpstr>Hoja6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Lobinshare Tutoriales</dc:creator>
  <cp:keywords/>
  <dc:description/>
  <cp:lastModifiedBy>Stefanny Salas Jimenez</cp:lastModifiedBy>
  <cp:revision/>
  <dcterms:created xsi:type="dcterms:W3CDTF">2017-03-09T17:46:03Z</dcterms:created>
  <dcterms:modified xsi:type="dcterms:W3CDTF">2026-02-21T01:43:36Z</dcterms:modified>
  <cp:category/>
  <cp:contentStatus/>
</cp:coreProperties>
</file>