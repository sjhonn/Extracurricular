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stefa\Downloads\"/>
    </mc:Choice>
  </mc:AlternateContent>
  <xr:revisionPtr revIDLastSave="0" documentId="13_ncr:1_{34257A32-B656-4AC0-9A5C-DBD91B73349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_1" sheetId="9" r:id="rId1"/>
    <sheet name="P_2" sheetId="7" r:id="rId2"/>
    <sheet name="P_3" sheetId="6" r:id="rId3"/>
    <sheet name="Hoja2" sheetId="11" state="hidden" r:id="rId4"/>
    <sheet name="P_4" sheetId="8" r:id="rId5"/>
    <sheet name="P_5" sheetId="1" r:id="rId6"/>
  </sheets>
  <externalReferences>
    <externalReference r:id="rId7"/>
  </externalReferences>
  <definedNames>
    <definedName name="_xlnm._FilterDatabase" localSheetId="2" hidden="1">P_3!$A$9:$H$123</definedName>
    <definedName name="ALTAVOCES">#REF!</definedName>
    <definedName name="ANDALUCÍA">#REF!</definedName>
    <definedName name="BASTIDORES_USADOS">#REF!</definedName>
    <definedName name="BENEFICIO_TOTAL">#REF!</definedName>
    <definedName name="BENEFICIOS_ALTAVOCES">#REF!</definedName>
    <definedName name="BENEFICIOS_ESTÉREOS">#REF!</definedName>
    <definedName name="BENEFICIOS_TELEVISORES">#REF!</definedName>
    <definedName name="BENFICIO_TELEVISORES">#REF!</definedName>
    <definedName name="BENFICIOS_TELEVISORES">#REF!</definedName>
    <definedName name="CONOS_USADOS">#REF!</definedName>
    <definedName name="_xlnm.Criteria" localSheetId="2">P_3!$B$6:$C$7</definedName>
    <definedName name="DATOS">[1]Hoja1!$A$7,[1]Hoja1!$A$8,[1]Hoja1!$A$9</definedName>
    <definedName name="ESCENARIOS">#REF!</definedName>
    <definedName name="ESTÉREOS">#REF!</definedName>
    <definedName name="GENERADORES_USADOS">#REF!</definedName>
    <definedName name="INVENTARIO_BASTIDOR">#REF!</definedName>
    <definedName name="INVENTARIO_CONOS">#REF!</definedName>
    <definedName name="INVENTARIO_GENERADORES">#REF!</definedName>
    <definedName name="INVENTARIO_PIEZAS_ELEC">#REF!</definedName>
    <definedName name="INVENTARIO_TUBOS">#REF!</definedName>
    <definedName name="OCCIDENTAL">#REF!</definedName>
    <definedName name="ORIENTAL">#REF!</definedName>
    <definedName name="PIEZAS_ELEC_USADAS">#REF!</definedName>
    <definedName name="Tabla_Datos">#REF!</definedName>
    <definedName name="TABLA1">#REF!</definedName>
    <definedName name="TELEVISORES">#REF!</definedName>
    <definedName name="TUBOS_USADOS">#REF!</definedName>
  </definedNames>
  <calcPr calcId="191029"/>
  <pivotCaches>
    <pivotCache cacheId="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6" l="1"/>
  <c r="B11" i="7"/>
  <c r="B12" i="7"/>
  <c r="B16" i="7"/>
  <c r="B14" i="7"/>
  <c r="B13" i="7"/>
  <c r="F8" i="7"/>
  <c r="F7" i="7"/>
  <c r="F6" i="7"/>
  <c r="F5" i="7"/>
  <c r="F4" i="7"/>
  <c r="F3" i="7"/>
  <c r="F2" i="7"/>
  <c r="I5" i="9"/>
  <c r="I6" i="9"/>
  <c r="I7" i="9"/>
  <c r="I8" i="9"/>
  <c r="I4" i="9"/>
  <c r="H5" i="9"/>
  <c r="H6" i="9"/>
  <c r="H7" i="9"/>
  <c r="H8" i="9"/>
  <c r="H4" i="9"/>
  <c r="E5" i="9"/>
  <c r="E6" i="9"/>
  <c r="E7" i="9"/>
  <c r="E8" i="9"/>
  <c r="E4" i="9"/>
  <c r="D5" i="9"/>
  <c r="D6" i="9"/>
  <c r="D7" i="9"/>
  <c r="D8" i="9"/>
  <c r="D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3" authorId="0" shapeId="0" xr:uid="{A3A82E3D-7C38-4424-B4D7-EDD3468A367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colocar sólo el porcentaje del descuento 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</author>
  </authors>
  <commentList>
    <comment ref="F1" authorId="0" shapeId="0" xr:uid="{0370AA0C-09ED-4F97-85E8-7F315CEEB60A}">
      <text>
        <r>
          <rPr>
            <sz val="9"/>
            <color indexed="81"/>
            <rFont val="Tahoma"/>
            <family val="2"/>
          </rPr>
          <t>Completar la columna de Calificación, teniendo en cuenta que el mínimo para aprobar es 13 y está dado en la celda E11 de la planilla. Para quienes aprobaron, aparecerá el texto “Aprobado”, de lo contrario el texto “Reprobado”.</t>
        </r>
      </text>
    </comment>
  </commentList>
</comments>
</file>

<file path=xl/sharedStrings.xml><?xml version="1.0" encoding="utf-8"?>
<sst xmlns="http://schemas.openxmlformats.org/spreadsheetml/2006/main" count="2107" uniqueCount="367">
  <si>
    <t>Código</t>
  </si>
  <si>
    <t>Apellidos y Nombres</t>
  </si>
  <si>
    <t>Columna1</t>
  </si>
  <si>
    <t>distrito</t>
  </si>
  <si>
    <t>Sexo</t>
  </si>
  <si>
    <t>Edad</t>
  </si>
  <si>
    <t>Estado Civil</t>
  </si>
  <si>
    <t>Sueldo Basico</t>
  </si>
  <si>
    <t>Categoria</t>
  </si>
  <si>
    <t>Poder adquisitivo</t>
  </si>
  <si>
    <t>Dscto.</t>
  </si>
  <si>
    <t>Bonific.</t>
  </si>
  <si>
    <t>Neto a Pagar</t>
  </si>
  <si>
    <t>Rosales,Roberto</t>
  </si>
  <si>
    <t>Comas</t>
  </si>
  <si>
    <t>M</t>
  </si>
  <si>
    <t>C</t>
  </si>
  <si>
    <t>B</t>
  </si>
  <si>
    <t>Bueno</t>
  </si>
  <si>
    <t>Bustamante, Ana</t>
  </si>
  <si>
    <t>F</t>
  </si>
  <si>
    <t>Malo</t>
  </si>
  <si>
    <t>Liendo, Miguel</t>
  </si>
  <si>
    <t>La Molina</t>
  </si>
  <si>
    <t>S</t>
  </si>
  <si>
    <t>Zavaleta, Marcos</t>
  </si>
  <si>
    <t>Mendoza, Leonel</t>
  </si>
  <si>
    <t>V</t>
  </si>
  <si>
    <t>Blanco, Milagros</t>
  </si>
  <si>
    <t>La Victoria</t>
  </si>
  <si>
    <t>Medina, José</t>
  </si>
  <si>
    <t>Flores, Walter</t>
  </si>
  <si>
    <t>Lince</t>
  </si>
  <si>
    <t>Castillo, Cesar</t>
  </si>
  <si>
    <t>Valderrama, Fernando</t>
  </si>
  <si>
    <t>Tapia, Humberto</t>
  </si>
  <si>
    <t>Dionicio, Liliana</t>
  </si>
  <si>
    <t>Ponce, Eduardo</t>
  </si>
  <si>
    <t>Surco</t>
  </si>
  <si>
    <t>A</t>
  </si>
  <si>
    <t>Quiroz,Juan</t>
  </si>
  <si>
    <t>Navarro, Luis</t>
  </si>
  <si>
    <t>Torres, Maria</t>
  </si>
  <si>
    <t>Sanchez, Susan</t>
  </si>
  <si>
    <t>Benavides, Martin</t>
  </si>
  <si>
    <t xml:space="preserve">Utilizando el botón de grabador de macro, filtrar la tabla las personas que vivan en lince que sean mayores de edad ( &gt;18) </t>
  </si>
  <si>
    <t>Miguel</t>
  </si>
  <si>
    <t>Susan</t>
  </si>
  <si>
    <t>Nombre</t>
  </si>
  <si>
    <t>Subtotales +FILTRO AVANZADOS +BOTÓN DE GRABADORA DE MACROS</t>
  </si>
  <si>
    <t>Subtotal 1:</t>
  </si>
  <si>
    <t>ID Empl</t>
  </si>
  <si>
    <t>Apellido</t>
  </si>
  <si>
    <t>Empleo</t>
  </si>
  <si>
    <t>Departamento</t>
  </si>
  <si>
    <t>Sección</t>
  </si>
  <si>
    <t>Salario</t>
  </si>
  <si>
    <t>Fch comienzo</t>
  </si>
  <si>
    <t>Gorton</t>
  </si>
  <si>
    <t>Hazel</t>
  </si>
  <si>
    <t>Auxiliar Contable</t>
  </si>
  <si>
    <t>Contabilidad</t>
  </si>
  <si>
    <t>Copiadoras</t>
  </si>
  <si>
    <t>Preston</t>
  </si>
  <si>
    <t>Liza</t>
  </si>
  <si>
    <t>Ing. Mecánico</t>
  </si>
  <si>
    <t>Ingeniería</t>
  </si>
  <si>
    <t>Impresoras</t>
  </si>
  <si>
    <t>Tercan</t>
  </si>
  <si>
    <t>Robert</t>
  </si>
  <si>
    <t>Aux. Admin. Unidad</t>
  </si>
  <si>
    <t>I + D</t>
  </si>
  <si>
    <t>Smith</t>
  </si>
  <si>
    <t>Howard</t>
  </si>
  <si>
    <t>Aux. Diseño</t>
  </si>
  <si>
    <t>Diseño</t>
  </si>
  <si>
    <t>Albert</t>
  </si>
  <si>
    <t>Maxine</t>
  </si>
  <si>
    <t>Mercado</t>
  </si>
  <si>
    <t>Gonzales</t>
  </si>
  <si>
    <t>Joe</t>
  </si>
  <si>
    <t>Director Unidad</t>
  </si>
  <si>
    <t>Administración</t>
  </si>
  <si>
    <t>Scote</t>
  </si>
  <si>
    <t>Gail</t>
  </si>
  <si>
    <t>Especialista Diseño</t>
  </si>
  <si>
    <t>Fax</t>
  </si>
  <si>
    <t>Mann</t>
  </si>
  <si>
    <t>Alyssa</t>
  </si>
  <si>
    <t>Kane</t>
  </si>
  <si>
    <t>Sheryl</t>
  </si>
  <si>
    <t>McKormick</t>
  </si>
  <si>
    <t>Brad</t>
  </si>
  <si>
    <t>Ingeniero Jefe</t>
  </si>
  <si>
    <t>Hapsbuch</t>
  </si>
  <si>
    <t>Kendrick</t>
  </si>
  <si>
    <t>Aux. Administrativo</t>
  </si>
  <si>
    <t>Price</t>
  </si>
  <si>
    <t>Ellen</t>
  </si>
  <si>
    <t>Foss</t>
  </si>
  <si>
    <t>Felix</t>
  </si>
  <si>
    <t>Investigador</t>
  </si>
  <si>
    <t>Henders</t>
  </si>
  <si>
    <t>Mark</t>
  </si>
  <si>
    <t>Plant</t>
  </si>
  <si>
    <t>Allen</t>
  </si>
  <si>
    <t>Solomon</t>
  </si>
  <si>
    <t>Ari</t>
  </si>
  <si>
    <t>Ing. Software</t>
  </si>
  <si>
    <t>Berwick</t>
  </si>
  <si>
    <t>Sam</t>
  </si>
  <si>
    <t>Representante</t>
  </si>
  <si>
    <t>Asonte</t>
  </si>
  <si>
    <t>Toni</t>
  </si>
  <si>
    <t>Dorfberg</t>
  </si>
  <si>
    <t>Jeremy</t>
  </si>
  <si>
    <t>Bellwood</t>
  </si>
  <si>
    <t>Frank</t>
  </si>
  <si>
    <t>Respon. Producto</t>
  </si>
  <si>
    <t>Taylor</t>
  </si>
  <si>
    <t>Ralph</t>
  </si>
  <si>
    <t>Group Mgr.</t>
  </si>
  <si>
    <t>Cooper</t>
  </si>
  <si>
    <t>Linda</t>
  </si>
  <si>
    <t>Constance</t>
  </si>
  <si>
    <t>Burt</t>
  </si>
  <si>
    <t>Seidel</t>
  </si>
  <si>
    <t>Matt</t>
  </si>
  <si>
    <t>Cronwith</t>
  </si>
  <si>
    <t>Brent</t>
  </si>
  <si>
    <t>Técnico</t>
  </si>
  <si>
    <t>North</t>
  </si>
  <si>
    <t>Simpson</t>
  </si>
  <si>
    <t>Sandrae</t>
  </si>
  <si>
    <t>Aux. Técnico</t>
  </si>
  <si>
    <t>Richards</t>
  </si>
  <si>
    <t>Phillip</t>
  </si>
  <si>
    <t>Contable</t>
  </si>
  <si>
    <t>Sindole</t>
  </si>
  <si>
    <t>Randy</t>
  </si>
  <si>
    <t>Sofer</t>
  </si>
  <si>
    <t>Ariel</t>
  </si>
  <si>
    <t>Ing. Técnico</t>
  </si>
  <si>
    <t>Berg</t>
  </si>
  <si>
    <t>Bobby</t>
  </si>
  <si>
    <t>Director Ingeniero</t>
  </si>
  <si>
    <t>Lark</t>
  </si>
  <si>
    <t>Donald</t>
  </si>
  <si>
    <t>Cane</t>
  </si>
  <si>
    <t>Nate</t>
  </si>
  <si>
    <t>Vuanuo</t>
  </si>
  <si>
    <t>Tuome</t>
  </si>
  <si>
    <t>Selznick</t>
  </si>
  <si>
    <t>Anna</t>
  </si>
  <si>
    <t>Cash</t>
  </si>
  <si>
    <t>Mary</t>
  </si>
  <si>
    <t>Szcznyck</t>
  </si>
  <si>
    <t>Tadeuz</t>
  </si>
  <si>
    <t>Kaneko</t>
  </si>
  <si>
    <t>Midori</t>
  </si>
  <si>
    <t>Ygarre</t>
  </si>
  <si>
    <t>Lisa</t>
  </si>
  <si>
    <t>Hardy</t>
  </si>
  <si>
    <t>Bill</t>
  </si>
  <si>
    <t>Investigador Jefe</t>
  </si>
  <si>
    <t>Beech</t>
  </si>
  <si>
    <t>Morton</t>
  </si>
  <si>
    <t>Sara</t>
  </si>
  <si>
    <t>Raye</t>
  </si>
  <si>
    <t>Alice</t>
  </si>
  <si>
    <t>Stone</t>
  </si>
  <si>
    <t>Cindy</t>
  </si>
  <si>
    <t>Wu</t>
  </si>
  <si>
    <t>Tammy</t>
  </si>
  <si>
    <t>Barth</t>
  </si>
  <si>
    <t>Sandra</t>
  </si>
  <si>
    <t>Townes</t>
  </si>
  <si>
    <t>Everett</t>
  </si>
  <si>
    <t>Lampstone</t>
  </si>
  <si>
    <t>Pete</t>
  </si>
  <si>
    <t>David</t>
  </si>
  <si>
    <t>Ferngood</t>
  </si>
  <si>
    <t>Jules</t>
  </si>
  <si>
    <t>Kegler</t>
  </si>
  <si>
    <t>Pam</t>
  </si>
  <si>
    <t>White</t>
  </si>
  <si>
    <t>Jessica</t>
  </si>
  <si>
    <t>Bell</t>
  </si>
  <si>
    <t>Tom</t>
  </si>
  <si>
    <t>Quan</t>
  </si>
  <si>
    <t>Karen</t>
  </si>
  <si>
    <t>Smythe</t>
  </si>
  <si>
    <t>Leslie</t>
  </si>
  <si>
    <t>Kellerman</t>
  </si>
  <si>
    <t>Tommie</t>
  </si>
  <si>
    <t>Stewart</t>
  </si>
  <si>
    <t>Iain</t>
  </si>
  <si>
    <t>Lempert</t>
  </si>
  <si>
    <t>Alexandra</t>
  </si>
  <si>
    <t>Davison</t>
  </si>
  <si>
    <t>Bates</t>
  </si>
  <si>
    <t>Sargent</t>
  </si>
  <si>
    <t>Evelyn</t>
  </si>
  <si>
    <t>Tuppman</t>
  </si>
  <si>
    <t>Lise-Anne</t>
  </si>
  <si>
    <t>Robbins</t>
  </si>
  <si>
    <t>Bob</t>
  </si>
  <si>
    <t>Weston</t>
  </si>
  <si>
    <t>Kourios</t>
  </si>
  <si>
    <t>Theo</t>
  </si>
  <si>
    <t>Wells</t>
  </si>
  <si>
    <t>Rose</t>
  </si>
  <si>
    <t>Coyne</t>
  </si>
  <si>
    <t>Dennis</t>
  </si>
  <si>
    <t>Dixon-Waite</t>
  </si>
  <si>
    <t>Sherrie</t>
  </si>
  <si>
    <t>Cummins</t>
  </si>
  <si>
    <t>Dave</t>
  </si>
  <si>
    <t>Boughton</t>
  </si>
  <si>
    <t>Miller</t>
  </si>
  <si>
    <t>Janet</t>
  </si>
  <si>
    <t>Melendez</t>
  </si>
  <si>
    <t>Jaime</t>
  </si>
  <si>
    <t>Jason</t>
  </si>
  <si>
    <t>Levine</t>
  </si>
  <si>
    <t>Eric</t>
  </si>
  <si>
    <t>Nelson</t>
  </si>
  <si>
    <t>Ed</t>
  </si>
  <si>
    <t>Abdul</t>
  </si>
  <si>
    <t>Cathy</t>
  </si>
  <si>
    <t>Alstain</t>
  </si>
  <si>
    <t>Isolde</t>
  </si>
  <si>
    <t>Chu</t>
  </si>
  <si>
    <t>Steven</t>
  </si>
  <si>
    <t>Sammler</t>
  </si>
  <si>
    <t>Farley</t>
  </si>
  <si>
    <t>Hodge</t>
  </si>
  <si>
    <t>Alex</t>
  </si>
  <si>
    <t>Brwyne</t>
  </si>
  <si>
    <t>Melia</t>
  </si>
  <si>
    <t>Alexi</t>
  </si>
  <si>
    <t>Stephanie</t>
  </si>
  <si>
    <t>Barton</t>
  </si>
  <si>
    <t>Eileen</t>
  </si>
  <si>
    <t>Able</t>
  </si>
  <si>
    <t>Aaron</t>
  </si>
  <si>
    <t>Goldberg</t>
  </si>
  <si>
    <t>Malcolm</t>
  </si>
  <si>
    <t>Al-Sabah</t>
  </si>
  <si>
    <t>Daoud</t>
  </si>
  <si>
    <t>Fein</t>
  </si>
  <si>
    <t>Caroline</t>
  </si>
  <si>
    <t>Lin</t>
  </si>
  <si>
    <t>Michael</t>
  </si>
  <si>
    <t>Bankler</t>
  </si>
  <si>
    <t>Rowena</t>
  </si>
  <si>
    <t>Homes</t>
  </si>
  <si>
    <t>Megan</t>
  </si>
  <si>
    <t>Zostoc</t>
  </si>
  <si>
    <t>Melissa</t>
  </si>
  <si>
    <t>Barbara</t>
  </si>
  <si>
    <t>Barber</t>
  </si>
  <si>
    <t>Mueller</t>
  </si>
  <si>
    <t>Ursula</t>
  </si>
  <si>
    <t>McGuire</t>
  </si>
  <si>
    <t>Johnson</t>
  </si>
  <si>
    <t>Sampson</t>
  </si>
  <si>
    <t>Carla</t>
  </si>
  <si>
    <t>Rich</t>
  </si>
  <si>
    <t>Fontaine</t>
  </si>
  <si>
    <t>Jean</t>
  </si>
  <si>
    <t>Kris</t>
  </si>
  <si>
    <t>Wolf</t>
  </si>
  <si>
    <t>Hilda</t>
  </si>
  <si>
    <t>Corwick</t>
  </si>
  <si>
    <t>Rob</t>
  </si>
  <si>
    <t>Aruda</t>
  </si>
  <si>
    <t>Felice</t>
  </si>
  <si>
    <t>Cortlandt</t>
  </si>
  <si>
    <t>Charles</t>
  </si>
  <si>
    <t>Martinez</t>
  </si>
  <si>
    <t>Larssen</t>
  </si>
  <si>
    <t>Erika</t>
  </si>
  <si>
    <t>Office Manager</t>
  </si>
  <si>
    <t>West</t>
  </si>
  <si>
    <t>Cara</t>
  </si>
  <si>
    <t>Franklin</t>
  </si>
  <si>
    <t>Larry</t>
  </si>
  <si>
    <t>Petry</t>
  </si>
  <si>
    <t>Robin</t>
  </si>
  <si>
    <t>Maguire</t>
  </si>
  <si>
    <t>Mollie</t>
  </si>
  <si>
    <t>Gladstone</t>
  </si>
  <si>
    <t>Wes</t>
  </si>
  <si>
    <t>Silverberg</t>
  </si>
  <si>
    <t>Jay</t>
  </si>
  <si>
    <r>
      <t xml:space="preserve">Utilizar </t>
    </r>
    <r>
      <rPr>
        <b/>
        <u/>
        <sz val="14"/>
        <color theme="1"/>
        <rFont val="Calibri"/>
        <family val="2"/>
      </rPr>
      <t>subtotales</t>
    </r>
    <r>
      <rPr>
        <b/>
        <sz val="14"/>
        <color theme="1"/>
        <rFont val="Calibri"/>
      </rPr>
      <t xml:space="preserve"> para hallar la suma de Dscto, Bonific y Neto a Pagar</t>
    </r>
  </si>
  <si>
    <t>Total</t>
  </si>
  <si>
    <t>NOMBRE</t>
  </si>
  <si>
    <t>MATERIA</t>
  </si>
  <si>
    <t>TAREA</t>
  </si>
  <si>
    <t>NOTA TEORICA</t>
  </si>
  <si>
    <t>NOTA PRACTICO</t>
  </si>
  <si>
    <t>CALIFICACIÓN</t>
  </si>
  <si>
    <t>Ana</t>
  </si>
  <si>
    <t>Word</t>
  </si>
  <si>
    <t>Mariana</t>
  </si>
  <si>
    <t>Excel</t>
  </si>
  <si>
    <t>Diego</t>
  </si>
  <si>
    <t>Rodrigo</t>
  </si>
  <si>
    <t>Access</t>
  </si>
  <si>
    <t>Marcos</t>
  </si>
  <si>
    <t>Laura</t>
  </si>
  <si>
    <t>Fernando</t>
  </si>
  <si>
    <t>CANTIDAD DE ALUMNOS</t>
  </si>
  <si>
    <t>Aprobación</t>
  </si>
  <si>
    <t>PAÍS</t>
  </si>
  <si>
    <t>ZONA</t>
  </si>
  <si>
    <t>ÁREA</t>
  </si>
  <si>
    <t>SECCIÓN</t>
  </si>
  <si>
    <t>CARGO</t>
  </si>
  <si>
    <t>TIPO</t>
  </si>
  <si>
    <t>SALARIO</t>
  </si>
  <si>
    <t>CHILE</t>
  </si>
  <si>
    <t>NORTE</t>
  </si>
  <si>
    <t>HOGAR</t>
  </si>
  <si>
    <t>CONTAB.</t>
  </si>
  <si>
    <t>AUXIL.</t>
  </si>
  <si>
    <t>UNO</t>
  </si>
  <si>
    <t>PERÚ</t>
  </si>
  <si>
    <t>CENTRO</t>
  </si>
  <si>
    <t>POLIMEROS</t>
  </si>
  <si>
    <t>VENTAS</t>
  </si>
  <si>
    <t>RESP.</t>
  </si>
  <si>
    <t>ARGENTINA</t>
  </si>
  <si>
    <t>DOS</t>
  </si>
  <si>
    <t>TRES</t>
  </si>
  <si>
    <t>SUR</t>
  </si>
  <si>
    <t>REPR.</t>
  </si>
  <si>
    <t>PRODUC.</t>
  </si>
  <si>
    <t>JUGUETES</t>
  </si>
  <si>
    <r>
      <t xml:space="preserve">Total del salario de </t>
    </r>
    <r>
      <rPr>
        <sz val="11"/>
        <color theme="1"/>
        <rFont val="Calibri"/>
        <family val="2"/>
        <scheme val="minor"/>
      </rPr>
      <t xml:space="preserve">  </t>
    </r>
    <r>
      <rPr>
        <u/>
        <sz val="11"/>
        <color theme="1"/>
        <rFont val="Calibri"/>
        <family val="2"/>
        <scheme val="minor"/>
      </rPr>
      <t>Departamento</t>
    </r>
    <r>
      <rPr>
        <sz val="11"/>
        <color theme="1"/>
        <rFont val="Calibri"/>
        <family val="2"/>
        <scheme val="minor"/>
      </rPr>
      <t xml:space="preserve">/Diseño ; </t>
    </r>
    <r>
      <rPr>
        <u/>
        <sz val="11"/>
        <color theme="1"/>
        <rFont val="Calibri"/>
        <family val="2"/>
        <scheme val="minor"/>
      </rPr>
      <t>Empleo/</t>
    </r>
    <r>
      <rPr>
        <sz val="11"/>
        <color theme="1"/>
        <rFont val="Calibri"/>
        <family val="2"/>
        <scheme val="minor"/>
      </rPr>
      <t>Aux. Diseño</t>
    </r>
  </si>
  <si>
    <t>CANTIDAD</t>
  </si>
  <si>
    <t>CONCEPTO</t>
  </si>
  <si>
    <t>PRECIO UN.</t>
  </si>
  <si>
    <t>SUBTOTAL</t>
  </si>
  <si>
    <t>CON DTO</t>
  </si>
  <si>
    <t>DTO</t>
  </si>
  <si>
    <t>IMPUESTO</t>
  </si>
  <si>
    <t>TOTAL</t>
  </si>
  <si>
    <t>DOLARES</t>
  </si>
  <si>
    <t>BOTAS</t>
  </si>
  <si>
    <t>CAMISA</t>
  </si>
  <si>
    <t>SUDADERAS</t>
  </si>
  <si>
    <t>DEPORTIVOS</t>
  </si>
  <si>
    <t>POLOS</t>
  </si>
  <si>
    <t>tipo de cambio de dolares a soles</t>
  </si>
  <si>
    <t>PROCEDIMIENTO</t>
  </si>
  <si>
    <t>1)Dar formato a la tabla resaltando títulos y resultado</t>
  </si>
  <si>
    <r>
      <t>2)</t>
    </r>
    <r>
      <rPr>
        <b/>
        <sz val="11"/>
        <color theme="1"/>
        <rFont val="Calibri"/>
        <family val="2"/>
        <scheme val="minor"/>
      </rPr>
      <t>El SUBTOTA</t>
    </r>
    <r>
      <rPr>
        <sz val="11"/>
        <color theme="1"/>
        <rFont val="Calibri"/>
        <scheme val="minor"/>
      </rPr>
      <t xml:space="preserve">L vendrá dado por  la  </t>
    </r>
    <r>
      <rPr>
        <b/>
        <sz val="11"/>
        <color theme="1"/>
        <rFont val="Calibri"/>
        <family val="2"/>
        <scheme val="minor"/>
      </rPr>
      <t>CANTIDAD*PRECIO UN.</t>
    </r>
  </si>
  <si>
    <t>3)CON DTO , tendrá que tenerse en cuenta lo siguiente:</t>
  </si>
  <si>
    <t xml:space="preserve"> </t>
  </si>
  <si>
    <t>Si el SUBTOTAL excede de 20000 se colocara un 10% caso contrario se colocará 0%</t>
  </si>
  <si>
    <r>
      <t xml:space="preserve">4)El </t>
    </r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scheme val="minor"/>
      </rPr>
      <t xml:space="preserve"> vendrá dado por </t>
    </r>
    <r>
      <rPr>
        <b/>
        <sz val="11"/>
        <color theme="1"/>
        <rFont val="Calibri"/>
        <family val="2"/>
        <scheme val="minor"/>
      </rPr>
      <t>el SUBTOTAL-(CON DTO+DTO-IMPUESTO)*SUBTOTAL</t>
    </r>
  </si>
  <si>
    <t>Etiquetas de fila</t>
  </si>
  <si>
    <t>Total general</t>
  </si>
  <si>
    <t>Máx. de 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</si>
</sst>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#,##0.00_);[Red]\(&quot;$&quot;#,##0.00\)"/>
    <numFmt numFmtId="165" formatCode="&quot;$&quot;#,##0_);[Red]\(&quot;$&quot;#,##0\)"/>
    <numFmt numFmtId="166" formatCode="_-[$S/-280A]\ * #,##0.00_-;\-[$S/-280A]\ * #,##0.00_-;_-[$S/-280A]\ * &quot;-&quot;??_-;_-@_-"/>
    <numFmt numFmtId="168" formatCode="_-[$$-409]* #,##0.00_ ;_-[$$-409]* \-#,##0.00\ ;_-[$$-409]* &quot;-&quot;??_ ;_-@_ "/>
    <numFmt numFmtId="169" formatCode="&quot;S/&quot;\ #,##0.0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libri"/>
    </font>
    <font>
      <sz val="10"/>
      <name val="MS Sans Serif"/>
    </font>
    <font>
      <sz val="13.5"/>
      <color indexed="48"/>
      <name val="MS Sans Serif"/>
      <family val="2"/>
    </font>
    <font>
      <b/>
      <sz val="10"/>
      <name val="MS Sans Serif"/>
      <family val="2"/>
    </font>
    <font>
      <b/>
      <sz val="10"/>
      <name val="MS Sans Serif"/>
    </font>
    <font>
      <b/>
      <sz val="8"/>
      <color indexed="9"/>
      <name val="MS Sans Serif"/>
    </font>
    <font>
      <sz val="8"/>
      <name val="MS Sans Serif"/>
    </font>
    <font>
      <sz val="16"/>
      <color theme="1"/>
      <name val="Arial Narrow"/>
      <family val="2"/>
    </font>
    <font>
      <b/>
      <u/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rgb="FF000000"/>
      <name val="Calibri"/>
      <scheme val="minor"/>
    </font>
    <font>
      <b/>
      <sz val="12"/>
      <color rgb="FFCCFFCC"/>
      <name val="Arial"/>
    </font>
    <font>
      <sz val="10"/>
      <color theme="1"/>
      <name val="Calibri"/>
    </font>
    <font>
      <u/>
      <sz val="11"/>
      <color theme="1"/>
      <name val="Calibri"/>
      <family val="2"/>
      <scheme val="minor"/>
    </font>
    <font>
      <b/>
      <sz val="18"/>
      <color rgb="FFFFFF00"/>
      <name val="Arial Black"/>
      <family val="2"/>
    </font>
    <font>
      <b/>
      <sz val="11"/>
      <color rgb="FF002060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Segoe UI Light"/>
      <family val="2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18"/>
        <bgColor indexed="2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/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/>
      <top style="thin">
        <color indexed="2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7">
    <xf numFmtId="0" fontId="0" fillId="0" borderId="0"/>
    <xf numFmtId="0" fontId="5" fillId="0" borderId="1"/>
    <xf numFmtId="0" fontId="8" fillId="0" borderId="1" applyNumberFormat="0" applyFill="0" applyBorder="0" applyAlignment="0" applyProtection="0"/>
    <xf numFmtId="164" fontId="5" fillId="0" borderId="1" applyFont="0" applyFill="0" applyBorder="0" applyAlignment="0" applyProtection="0"/>
    <xf numFmtId="0" fontId="2" fillId="0" borderId="1"/>
    <xf numFmtId="0" fontId="16" fillId="0" borderId="1"/>
    <xf numFmtId="0" fontId="23" fillId="0" borderId="1"/>
  </cellStyleXfs>
  <cellXfs count="71">
    <xf numFmtId="0" fontId="0" fillId="0" borderId="0" xfId="0"/>
    <xf numFmtId="0" fontId="3" fillId="0" borderId="0" xfId="0" applyFont="1"/>
    <xf numFmtId="0" fontId="6" fillId="0" borderId="1" xfId="1" applyFont="1"/>
    <xf numFmtId="0" fontId="5" fillId="0" borderId="1" xfId="1"/>
    <xf numFmtId="0" fontId="7" fillId="0" borderId="1" xfId="1" applyFont="1"/>
    <xf numFmtId="0" fontId="9" fillId="2" borderId="3" xfId="2" applyFont="1" applyFill="1" applyBorder="1" applyAlignment="1">
      <alignment horizontal="center"/>
    </xf>
    <xf numFmtId="0" fontId="9" fillId="2" borderId="4" xfId="2" applyFont="1" applyFill="1" applyBorder="1" applyAlignment="1">
      <alignment horizontal="left"/>
    </xf>
    <xf numFmtId="165" fontId="9" fillId="2" borderId="4" xfId="3" applyNumberFormat="1" applyFont="1" applyFill="1" applyBorder="1" applyAlignment="1">
      <alignment horizontal="right"/>
    </xf>
    <xf numFmtId="14" fontId="9" fillId="2" borderId="4" xfId="2" applyNumberFormat="1" applyFont="1" applyFill="1" applyBorder="1" applyAlignment="1">
      <alignment horizontal="right"/>
    </xf>
    <xf numFmtId="0" fontId="10" fillId="0" borderId="5" xfId="1" applyFont="1" applyBorder="1" applyAlignment="1">
      <alignment horizontal="center"/>
    </xf>
    <xf numFmtId="0" fontId="10" fillId="0" borderId="1" xfId="1" applyFont="1"/>
    <xf numFmtId="165" fontId="10" fillId="0" borderId="1" xfId="3" applyNumberFormat="1" applyFont="1" applyBorder="1"/>
    <xf numFmtId="14" fontId="10" fillId="0" borderId="1" xfId="1" applyNumberFormat="1" applyFont="1"/>
    <xf numFmtId="165" fontId="10" fillId="0" borderId="1" xfId="1" applyNumberFormat="1" applyFont="1"/>
    <xf numFmtId="0" fontId="10" fillId="0" borderId="6" xfId="1" applyFont="1" applyBorder="1" applyAlignment="1">
      <alignment horizontal="center"/>
    </xf>
    <xf numFmtId="0" fontId="10" fillId="0" borderId="7" xfId="1" applyFont="1" applyBorder="1"/>
    <xf numFmtId="165" fontId="10" fillId="0" borderId="7" xfId="1" applyNumberFormat="1" applyFont="1" applyBorder="1"/>
    <xf numFmtId="165" fontId="10" fillId="0" borderId="7" xfId="3" applyNumberFormat="1" applyFont="1" applyBorder="1"/>
    <xf numFmtId="14" fontId="10" fillId="0" borderId="7" xfId="1" applyNumberFormat="1" applyFont="1" applyBorder="1"/>
    <xf numFmtId="0" fontId="5" fillId="0" borderId="2" xfId="1" applyBorder="1"/>
    <xf numFmtId="0" fontId="9" fillId="2" borderId="8" xfId="2" applyFont="1" applyFill="1" applyBorder="1" applyAlignment="1">
      <alignment horizontal="center" vertical="center"/>
    </xf>
    <xf numFmtId="0" fontId="14" fillId="3" borderId="2" xfId="4" applyFont="1" applyFill="1" applyBorder="1" applyAlignment="1">
      <alignment horizontal="center" vertical="center" wrapText="1"/>
    </xf>
    <xf numFmtId="0" fontId="14" fillId="3" borderId="2" xfId="4" applyFont="1" applyFill="1" applyBorder="1" applyAlignment="1">
      <alignment horizontal="center" vertical="center"/>
    </xf>
    <xf numFmtId="0" fontId="2" fillId="0" borderId="1" xfId="4"/>
    <xf numFmtId="0" fontId="2" fillId="0" borderId="9" xfId="4" applyBorder="1"/>
    <xf numFmtId="0" fontId="2" fillId="0" borderId="10" xfId="4" applyBorder="1"/>
    <xf numFmtId="0" fontId="2" fillId="0" borderId="11" xfId="4" applyBorder="1"/>
    <xf numFmtId="0" fontId="2" fillId="0" borderId="12" xfId="4" applyBorder="1"/>
    <xf numFmtId="0" fontId="2" fillId="0" borderId="2" xfId="4" applyBorder="1"/>
    <xf numFmtId="0" fontId="2" fillId="0" borderId="13" xfId="4" applyBorder="1"/>
    <xf numFmtId="0" fontId="2" fillId="0" borderId="14" xfId="4" applyBorder="1"/>
    <xf numFmtId="0" fontId="14" fillId="0" borderId="2" xfId="4" applyFont="1" applyBorder="1" applyAlignment="1">
      <alignment vertical="center"/>
    </xf>
    <xf numFmtId="0" fontId="14" fillId="0" borderId="15" xfId="4" applyFont="1" applyBorder="1"/>
    <xf numFmtId="0" fontId="2" fillId="0" borderId="16" xfId="4" applyBorder="1"/>
    <xf numFmtId="0" fontId="16" fillId="0" borderId="1" xfId="5"/>
    <xf numFmtId="0" fontId="17" fillId="4" borderId="1" xfId="5" applyFont="1" applyFill="1" applyAlignment="1">
      <alignment horizontal="center"/>
    </xf>
    <xf numFmtId="0" fontId="18" fillId="0" borderId="1" xfId="5" applyFont="1"/>
    <xf numFmtId="0" fontId="2" fillId="3" borderId="10" xfId="4" applyFill="1" applyBorder="1" applyAlignment="1">
      <alignment horizontal="center" vertical="center"/>
    </xf>
    <xf numFmtId="0" fontId="2" fillId="3" borderId="2" xfId="4" applyFill="1" applyBorder="1" applyAlignment="1">
      <alignment horizontal="center" vertical="center"/>
    </xf>
    <xf numFmtId="0" fontId="2" fillId="3" borderId="14" xfId="4" applyFill="1" applyBorder="1" applyAlignment="1">
      <alignment horizontal="center" vertical="center"/>
    </xf>
    <xf numFmtId="0" fontId="2" fillId="3" borderId="2" xfId="4" applyFill="1" applyBorder="1"/>
    <xf numFmtId="0" fontId="11" fillId="0" borderId="0" xfId="0" applyFont="1" applyAlignment="1">
      <alignment horizontal="center" vertical="center"/>
    </xf>
    <xf numFmtId="0" fontId="20" fillId="0" borderId="1" xfId="4" applyFont="1" applyAlignment="1">
      <alignment horizontal="center" vertical="center"/>
    </xf>
    <xf numFmtId="0" fontId="14" fillId="0" borderId="1" xfId="4" applyFont="1"/>
    <xf numFmtId="0" fontId="2" fillId="5" borderId="1" xfId="4" applyFill="1"/>
    <xf numFmtId="166" fontId="2" fillId="0" borderId="1" xfId="4" applyNumberFormat="1"/>
    <xf numFmtId="9" fontId="2" fillId="6" borderId="1" xfId="4" applyNumberFormat="1" applyFill="1"/>
    <xf numFmtId="9" fontId="2" fillId="0" borderId="1" xfId="4" applyNumberFormat="1"/>
    <xf numFmtId="0" fontId="14" fillId="0" borderId="15" xfId="4" applyFont="1" applyBorder="1" applyAlignment="1">
      <alignment horizontal="center" vertical="center" wrapText="1"/>
    </xf>
    <xf numFmtId="166" fontId="2" fillId="3" borderId="16" xfId="4" applyNumberFormat="1" applyFill="1" applyBorder="1" applyAlignment="1">
      <alignment horizontal="center" vertical="center"/>
    </xf>
    <xf numFmtId="0" fontId="21" fillId="7" borderId="1" xfId="4" applyFont="1" applyFill="1"/>
    <xf numFmtId="0" fontId="14" fillId="7" borderId="1" xfId="4" applyFont="1" applyFill="1"/>
    <xf numFmtId="0" fontId="4" fillId="0" borderId="0" xfId="0" applyFont="1" applyAlignment="1">
      <alignment horizontal="left"/>
    </xf>
    <xf numFmtId="0" fontId="0" fillId="0" borderId="0" xfId="0"/>
    <xf numFmtId="0" fontId="13" fillId="0" borderId="0" xfId="0" applyFont="1" applyAlignment="1">
      <alignment horizontal="left"/>
    </xf>
    <xf numFmtId="168" fontId="2" fillId="0" borderId="1" xfId="4" applyNumberFormat="1"/>
    <xf numFmtId="169" fontId="2" fillId="0" borderId="1" xfId="4" applyNumberFormat="1"/>
    <xf numFmtId="0" fontId="0" fillId="0" borderId="17" xfId="0" pivotButton="1" applyBorder="1"/>
    <xf numFmtId="0" fontId="0" fillId="0" borderId="19" xfId="0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 indent="1"/>
    </xf>
    <xf numFmtId="0" fontId="0" fillId="0" borderId="18" xfId="0" applyBorder="1" applyAlignment="1">
      <alignment horizontal="left" indent="2"/>
    </xf>
    <xf numFmtId="0" fontId="0" fillId="0" borderId="22" xfId="0" applyBorder="1" applyAlignment="1">
      <alignment horizontal="left"/>
    </xf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left" indent="2"/>
    </xf>
    <xf numFmtId="0" fontId="0" fillId="0" borderId="17" xfId="0" applyBorder="1" applyAlignment="1">
      <alignment horizontal="left" indent="1"/>
    </xf>
    <xf numFmtId="169" fontId="0" fillId="0" borderId="19" xfId="0" applyNumberFormat="1" applyBorder="1"/>
    <xf numFmtId="169" fontId="0" fillId="0" borderId="20" xfId="0" applyNumberFormat="1" applyBorder="1"/>
    <xf numFmtId="169" fontId="0" fillId="0" borderId="21" xfId="0" applyNumberFormat="1" applyBorder="1"/>
    <xf numFmtId="0" fontId="24" fillId="0" borderId="0" xfId="0" applyFont="1"/>
    <xf numFmtId="168" fontId="5" fillId="0" borderId="2" xfId="1" applyNumberFormat="1" applyBorder="1"/>
  </cellXfs>
  <cellStyles count="7">
    <cellStyle name="Heading" xfId="2" xr:uid="{000FC2CB-DA89-4F4B-B584-478AC6CC8FA8}"/>
    <cellStyle name="Moneda 2" xfId="3" xr:uid="{393861B8-84DC-4124-9DE2-CC99EE3CA8C8}"/>
    <cellStyle name="Normal" xfId="0" builtinId="0"/>
    <cellStyle name="Normal 2" xfId="1" xr:uid="{D56AB201-77B0-4542-9375-23F7E3157C23}"/>
    <cellStyle name="Normal 3" xfId="4" xr:uid="{C3B2359F-D81C-4573-8CDA-82D731A1AB35}"/>
    <cellStyle name="Normal 4" xfId="5" xr:uid="{BA4E72D4-2744-426C-96E1-A87FF24111CC}"/>
    <cellStyle name="Normal 4 2" xfId="6" xr:uid="{5EC40350-16CC-488E-A0B3-3B8666D63A46}"/>
  </cellStyles>
  <dxfs count="6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1P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3P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[EXAMEN PARCIAL 2026.xlsx]P_4!TablaDinámica1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</a:t>
            </a:r>
            <a:r>
              <a:rPr lang="en-US" baseline="0"/>
              <a:t> Max de Salario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P_4!$M$5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P_4!$L$6:$L$120</c:f>
              <c:multiLvlStrCache>
                <c:ptCount val="75"/>
                <c:lvl>
                  <c:pt idx="0">
                    <c:v>CONTAB.</c:v>
                  </c:pt>
                  <c:pt idx="1">
                    <c:v>PRODUC.</c:v>
                  </c:pt>
                  <c:pt idx="2">
                    <c:v>VENTAS</c:v>
                  </c:pt>
                  <c:pt idx="3">
                    <c:v>CONTAB.</c:v>
                  </c:pt>
                  <c:pt idx="4">
                    <c:v>PRODUC.</c:v>
                  </c:pt>
                  <c:pt idx="5">
                    <c:v>VENTAS</c:v>
                  </c:pt>
                  <c:pt idx="6">
                    <c:v>CONTAB.</c:v>
                  </c:pt>
                  <c:pt idx="7">
                    <c:v>PRODUC.</c:v>
                  </c:pt>
                  <c:pt idx="8">
                    <c:v>VENTAS</c:v>
                  </c:pt>
                  <c:pt idx="9">
                    <c:v>CONTAB.</c:v>
                  </c:pt>
                  <c:pt idx="10">
                    <c:v>PRODUC.</c:v>
                  </c:pt>
                  <c:pt idx="11">
                    <c:v>VENTAS</c:v>
                  </c:pt>
                  <c:pt idx="12">
                    <c:v>CONTAB.</c:v>
                  </c:pt>
                  <c:pt idx="13">
                    <c:v>PRODUC.</c:v>
                  </c:pt>
                  <c:pt idx="14">
                    <c:v>VENTAS</c:v>
                  </c:pt>
                  <c:pt idx="15">
                    <c:v>CONTAB.</c:v>
                  </c:pt>
                  <c:pt idx="16">
                    <c:v>PRODUC.</c:v>
                  </c:pt>
                  <c:pt idx="17">
                    <c:v>VENTAS</c:v>
                  </c:pt>
                  <c:pt idx="18">
                    <c:v>CONTAB.</c:v>
                  </c:pt>
                  <c:pt idx="19">
                    <c:v>PRODUC.</c:v>
                  </c:pt>
                  <c:pt idx="20">
                    <c:v>VENTAS</c:v>
                  </c:pt>
                  <c:pt idx="21">
                    <c:v>CONTAB.</c:v>
                  </c:pt>
                  <c:pt idx="22">
                    <c:v>PRODUC.</c:v>
                  </c:pt>
                  <c:pt idx="23">
                    <c:v>CONTAB.</c:v>
                  </c:pt>
                  <c:pt idx="24">
                    <c:v>PRODUC.</c:v>
                  </c:pt>
                  <c:pt idx="25">
                    <c:v>VENTAS</c:v>
                  </c:pt>
                  <c:pt idx="26">
                    <c:v>CONTAB.</c:v>
                  </c:pt>
                  <c:pt idx="27">
                    <c:v>PRODUC.</c:v>
                  </c:pt>
                  <c:pt idx="28">
                    <c:v>VENTAS</c:v>
                  </c:pt>
                  <c:pt idx="29">
                    <c:v>CONTAB.</c:v>
                  </c:pt>
                  <c:pt idx="30">
                    <c:v>VENTAS</c:v>
                  </c:pt>
                  <c:pt idx="31">
                    <c:v>CONTAB.</c:v>
                  </c:pt>
                  <c:pt idx="32">
                    <c:v>PRODUC.</c:v>
                  </c:pt>
                  <c:pt idx="33">
                    <c:v>VENTAS</c:v>
                  </c:pt>
                  <c:pt idx="34">
                    <c:v>CONTAB.</c:v>
                  </c:pt>
                  <c:pt idx="35">
                    <c:v>PRODUC.</c:v>
                  </c:pt>
                  <c:pt idx="36">
                    <c:v>VENTAS</c:v>
                  </c:pt>
                  <c:pt idx="37">
                    <c:v>CONTAB.</c:v>
                  </c:pt>
                  <c:pt idx="38">
                    <c:v>PRODUC.</c:v>
                  </c:pt>
                  <c:pt idx="39">
                    <c:v>VENTAS</c:v>
                  </c:pt>
                  <c:pt idx="40">
                    <c:v>CONTAB.</c:v>
                  </c:pt>
                  <c:pt idx="41">
                    <c:v>PRODUC.</c:v>
                  </c:pt>
                  <c:pt idx="42">
                    <c:v>VENTAS</c:v>
                  </c:pt>
                  <c:pt idx="43">
                    <c:v>CONTAB.</c:v>
                  </c:pt>
                  <c:pt idx="44">
                    <c:v>PRODUC.</c:v>
                  </c:pt>
                  <c:pt idx="45">
                    <c:v>VENTAS</c:v>
                  </c:pt>
                  <c:pt idx="46">
                    <c:v>CONTAB.</c:v>
                  </c:pt>
                  <c:pt idx="47">
                    <c:v>PRODUC.</c:v>
                  </c:pt>
                  <c:pt idx="48">
                    <c:v>VENTAS</c:v>
                  </c:pt>
                  <c:pt idx="49">
                    <c:v>CONTAB.</c:v>
                  </c:pt>
                  <c:pt idx="50">
                    <c:v>PRODUC.</c:v>
                  </c:pt>
                  <c:pt idx="51">
                    <c:v>VENTAS</c:v>
                  </c:pt>
                  <c:pt idx="52">
                    <c:v>CONTAB.</c:v>
                  </c:pt>
                  <c:pt idx="53">
                    <c:v>VENTAS</c:v>
                  </c:pt>
                  <c:pt idx="54">
                    <c:v>CONTAB.</c:v>
                  </c:pt>
                  <c:pt idx="55">
                    <c:v>PRODUC.</c:v>
                  </c:pt>
                  <c:pt idx="56">
                    <c:v>VENTAS</c:v>
                  </c:pt>
                  <c:pt idx="57">
                    <c:v>CONTAB.</c:v>
                  </c:pt>
                  <c:pt idx="58">
                    <c:v>PRODUC.</c:v>
                  </c:pt>
                  <c:pt idx="59">
                    <c:v>VENTAS</c:v>
                  </c:pt>
                  <c:pt idx="60">
                    <c:v>CONTAB.</c:v>
                  </c:pt>
                  <c:pt idx="61">
                    <c:v>PRODUC.</c:v>
                  </c:pt>
                  <c:pt idx="62">
                    <c:v>VENTAS</c:v>
                  </c:pt>
                  <c:pt idx="63">
                    <c:v>CONTAB.</c:v>
                  </c:pt>
                  <c:pt idx="64">
                    <c:v>PRODUC.</c:v>
                  </c:pt>
                  <c:pt idx="65">
                    <c:v>VENTAS</c:v>
                  </c:pt>
                  <c:pt idx="66">
                    <c:v>CONTAB.</c:v>
                  </c:pt>
                  <c:pt idx="67">
                    <c:v>PRODUC.</c:v>
                  </c:pt>
                  <c:pt idx="68">
                    <c:v>VENTAS</c:v>
                  </c:pt>
                  <c:pt idx="69">
                    <c:v>CONTAB.</c:v>
                  </c:pt>
                  <c:pt idx="70">
                    <c:v>PRODUC.</c:v>
                  </c:pt>
                  <c:pt idx="71">
                    <c:v>VENTAS</c:v>
                  </c:pt>
                  <c:pt idx="72">
                    <c:v>CONTAB.</c:v>
                  </c:pt>
                  <c:pt idx="73">
                    <c:v>PRODUC.</c:v>
                  </c:pt>
                  <c:pt idx="74">
                    <c:v>VENTAS</c:v>
                  </c:pt>
                </c:lvl>
                <c:lvl>
                  <c:pt idx="0">
                    <c:v>HOGAR</c:v>
                  </c:pt>
                  <c:pt idx="3">
                    <c:v>JUGUETES</c:v>
                  </c:pt>
                  <c:pt idx="6">
                    <c:v>POLIMEROS</c:v>
                  </c:pt>
                  <c:pt idx="9">
                    <c:v>HOGAR</c:v>
                  </c:pt>
                  <c:pt idx="12">
                    <c:v>JUGUETES</c:v>
                  </c:pt>
                  <c:pt idx="15">
                    <c:v>POLIMEROS</c:v>
                  </c:pt>
                  <c:pt idx="18">
                    <c:v>HOGAR</c:v>
                  </c:pt>
                  <c:pt idx="21">
                    <c:v>JUGUETES</c:v>
                  </c:pt>
                  <c:pt idx="23">
                    <c:v>POLIMEROS</c:v>
                  </c:pt>
                  <c:pt idx="26">
                    <c:v>HOGAR</c:v>
                  </c:pt>
                  <c:pt idx="29">
                    <c:v>JUGUETES</c:v>
                  </c:pt>
                  <c:pt idx="31">
                    <c:v>POLIMEROS</c:v>
                  </c:pt>
                  <c:pt idx="34">
                    <c:v>HOGAR</c:v>
                  </c:pt>
                  <c:pt idx="37">
                    <c:v>JUGUETES</c:v>
                  </c:pt>
                  <c:pt idx="39">
                    <c:v>POLIMEROS</c:v>
                  </c:pt>
                  <c:pt idx="40">
                    <c:v>HOGAR</c:v>
                  </c:pt>
                  <c:pt idx="43">
                    <c:v>JUGUETES</c:v>
                  </c:pt>
                  <c:pt idx="46">
                    <c:v>POLIMEROS</c:v>
                  </c:pt>
                  <c:pt idx="49">
                    <c:v>HOGAR</c:v>
                  </c:pt>
                  <c:pt idx="52">
                    <c:v>JUGUETES</c:v>
                  </c:pt>
                  <c:pt idx="54">
                    <c:v>POLIMEROS</c:v>
                  </c:pt>
                  <c:pt idx="57">
                    <c:v>HOGAR</c:v>
                  </c:pt>
                  <c:pt idx="60">
                    <c:v>JUGUETES</c:v>
                  </c:pt>
                  <c:pt idx="63">
                    <c:v>POLIMEROS</c:v>
                  </c:pt>
                  <c:pt idx="66">
                    <c:v>HOGAR</c:v>
                  </c:pt>
                  <c:pt idx="69">
                    <c:v>JUGUETES</c:v>
                  </c:pt>
                  <c:pt idx="72">
                    <c:v>POLIMEROS</c:v>
                  </c:pt>
                </c:lvl>
                <c:lvl>
                  <c:pt idx="0">
                    <c:v>CENTRO</c:v>
                  </c:pt>
                  <c:pt idx="9">
                    <c:v>NORTE</c:v>
                  </c:pt>
                  <c:pt idx="18">
                    <c:v>SUR</c:v>
                  </c:pt>
                  <c:pt idx="26">
                    <c:v>CENTRO</c:v>
                  </c:pt>
                  <c:pt idx="34">
                    <c:v>NORTE</c:v>
                  </c:pt>
                  <c:pt idx="40">
                    <c:v>SUR</c:v>
                  </c:pt>
                  <c:pt idx="49">
                    <c:v>CENTRO</c:v>
                  </c:pt>
                  <c:pt idx="57">
                    <c:v>NORTE</c:v>
                  </c:pt>
                  <c:pt idx="66">
                    <c:v>SUR</c:v>
                  </c:pt>
                </c:lvl>
                <c:lvl>
                  <c:pt idx="0">
                    <c:v>ARGENTINA</c:v>
                  </c:pt>
                  <c:pt idx="26">
                    <c:v>CHILE</c:v>
                  </c:pt>
                  <c:pt idx="49">
                    <c:v>PERÚ</c:v>
                  </c:pt>
                </c:lvl>
              </c:multiLvlStrCache>
            </c:multiLvlStrRef>
          </c:cat>
          <c:val>
            <c:numRef>
              <c:f>P_4!$M$6:$M$120</c:f>
              <c:numCache>
                <c:formatCode>"S/"\ #,##0.00</c:formatCode>
                <c:ptCount val="75"/>
                <c:pt idx="0">
                  <c:v>912747</c:v>
                </c:pt>
                <c:pt idx="1">
                  <c:v>505326</c:v>
                </c:pt>
                <c:pt idx="2">
                  <c:v>1107456</c:v>
                </c:pt>
                <c:pt idx="3">
                  <c:v>548567</c:v>
                </c:pt>
                <c:pt idx="4">
                  <c:v>1263487</c:v>
                </c:pt>
                <c:pt idx="5">
                  <c:v>795035</c:v>
                </c:pt>
                <c:pt idx="6">
                  <c:v>1276223</c:v>
                </c:pt>
                <c:pt idx="7">
                  <c:v>691201</c:v>
                </c:pt>
                <c:pt idx="8">
                  <c:v>1120730</c:v>
                </c:pt>
                <c:pt idx="9">
                  <c:v>1394088</c:v>
                </c:pt>
                <c:pt idx="10">
                  <c:v>1294037</c:v>
                </c:pt>
                <c:pt idx="11">
                  <c:v>1214725</c:v>
                </c:pt>
                <c:pt idx="12">
                  <c:v>1492167</c:v>
                </c:pt>
                <c:pt idx="13">
                  <c:v>970345</c:v>
                </c:pt>
                <c:pt idx="14">
                  <c:v>899768</c:v>
                </c:pt>
                <c:pt idx="15">
                  <c:v>1033788</c:v>
                </c:pt>
                <c:pt idx="16">
                  <c:v>1190102</c:v>
                </c:pt>
                <c:pt idx="17">
                  <c:v>1079581</c:v>
                </c:pt>
                <c:pt idx="18">
                  <c:v>1208406</c:v>
                </c:pt>
                <c:pt idx="19">
                  <c:v>1085908</c:v>
                </c:pt>
                <c:pt idx="20">
                  <c:v>1467094</c:v>
                </c:pt>
                <c:pt idx="21">
                  <c:v>1345763</c:v>
                </c:pt>
                <c:pt idx="22">
                  <c:v>1478306</c:v>
                </c:pt>
                <c:pt idx="23">
                  <c:v>1250461</c:v>
                </c:pt>
                <c:pt idx="24">
                  <c:v>848160</c:v>
                </c:pt>
                <c:pt idx="25">
                  <c:v>1082288</c:v>
                </c:pt>
                <c:pt idx="26">
                  <c:v>1089699</c:v>
                </c:pt>
                <c:pt idx="27">
                  <c:v>1257854</c:v>
                </c:pt>
                <c:pt idx="28">
                  <c:v>562945</c:v>
                </c:pt>
                <c:pt idx="29">
                  <c:v>1058599</c:v>
                </c:pt>
                <c:pt idx="30">
                  <c:v>1051840</c:v>
                </c:pt>
                <c:pt idx="31">
                  <c:v>1416706</c:v>
                </c:pt>
                <c:pt idx="32">
                  <c:v>544607</c:v>
                </c:pt>
                <c:pt idx="33">
                  <c:v>1025558</c:v>
                </c:pt>
                <c:pt idx="34">
                  <c:v>1417146</c:v>
                </c:pt>
                <c:pt idx="35">
                  <c:v>798284</c:v>
                </c:pt>
                <c:pt idx="36">
                  <c:v>753270</c:v>
                </c:pt>
                <c:pt idx="37">
                  <c:v>1377479</c:v>
                </c:pt>
                <c:pt idx="38">
                  <c:v>1002085</c:v>
                </c:pt>
                <c:pt idx="39">
                  <c:v>1475627</c:v>
                </c:pt>
                <c:pt idx="40">
                  <c:v>1374829</c:v>
                </c:pt>
                <c:pt idx="41">
                  <c:v>968576</c:v>
                </c:pt>
                <c:pt idx="42">
                  <c:v>1434406</c:v>
                </c:pt>
                <c:pt idx="43">
                  <c:v>1368021</c:v>
                </c:pt>
                <c:pt idx="44">
                  <c:v>1434585</c:v>
                </c:pt>
                <c:pt idx="45">
                  <c:v>1416240</c:v>
                </c:pt>
                <c:pt idx="46">
                  <c:v>1379159</c:v>
                </c:pt>
                <c:pt idx="47">
                  <c:v>1447357</c:v>
                </c:pt>
                <c:pt idx="48">
                  <c:v>1099235</c:v>
                </c:pt>
                <c:pt idx="49">
                  <c:v>1426348</c:v>
                </c:pt>
                <c:pt idx="50">
                  <c:v>1299944</c:v>
                </c:pt>
                <c:pt idx="51">
                  <c:v>1238960</c:v>
                </c:pt>
                <c:pt idx="52">
                  <c:v>1428481</c:v>
                </c:pt>
                <c:pt idx="53">
                  <c:v>1309380</c:v>
                </c:pt>
                <c:pt idx="54">
                  <c:v>906655</c:v>
                </c:pt>
                <c:pt idx="55">
                  <c:v>1031693</c:v>
                </c:pt>
                <c:pt idx="56">
                  <c:v>1455333</c:v>
                </c:pt>
                <c:pt idx="57">
                  <c:v>1467722</c:v>
                </c:pt>
                <c:pt idx="58">
                  <c:v>1275690</c:v>
                </c:pt>
                <c:pt idx="59">
                  <c:v>517415</c:v>
                </c:pt>
                <c:pt idx="60">
                  <c:v>1189550</c:v>
                </c:pt>
                <c:pt idx="61">
                  <c:v>1498688</c:v>
                </c:pt>
                <c:pt idx="62">
                  <c:v>1432965</c:v>
                </c:pt>
                <c:pt idx="63">
                  <c:v>909004</c:v>
                </c:pt>
                <c:pt idx="64">
                  <c:v>971795</c:v>
                </c:pt>
                <c:pt idx="65">
                  <c:v>1473816</c:v>
                </c:pt>
                <c:pt idx="66">
                  <c:v>1493440</c:v>
                </c:pt>
                <c:pt idx="67">
                  <c:v>1096349</c:v>
                </c:pt>
                <c:pt idx="68">
                  <c:v>604327</c:v>
                </c:pt>
                <c:pt idx="69">
                  <c:v>1423951</c:v>
                </c:pt>
                <c:pt idx="70">
                  <c:v>1477925</c:v>
                </c:pt>
                <c:pt idx="71">
                  <c:v>1319711</c:v>
                </c:pt>
                <c:pt idx="72">
                  <c:v>695976</c:v>
                </c:pt>
                <c:pt idx="73">
                  <c:v>917037</c:v>
                </c:pt>
                <c:pt idx="74">
                  <c:v>1400298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3-4FB7-BD41-777DE583F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0502912"/>
        <c:axId val="1980497920"/>
      </c:barChart>
      <c:catAx>
        <c:axId val="198050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0497920"/>
        <c:crosses val="autoZero"/>
        <c:auto val="1"/>
        <c:lblAlgn val="ctr"/>
        <c:lblOffset val="100"/>
        <c:noMultiLvlLbl val="0"/>
      </c:catAx>
      <c:valAx>
        <c:axId val="198049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8050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352425</xdr:colOff>
      <xdr:row>4</xdr:row>
      <xdr:rowOff>133349</xdr:rowOff>
    </xdr:from>
    <xdr:ext cx="3324225" cy="2924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ECDF5EF-30E9-46A8-9355-EE5E94C45263}"/>
            </a:ext>
          </a:extLst>
        </xdr:cNvPr>
        <xdr:cNvSpPr txBox="1"/>
      </xdr:nvSpPr>
      <xdr:spPr>
        <a:xfrm>
          <a:off x="5086350" y="809624"/>
          <a:ext cx="3324225" cy="2924175"/>
        </a:xfrm>
        <a:prstGeom prst="rect">
          <a:avLst/>
        </a:prstGeom>
        <a:solidFill>
          <a:srgbClr val="69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657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endParaRPr lang="en-US" sz="1200" b="1" i="1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r>
            <a:rPr lang="en-US" sz="1200" b="1" i="0" u="sng" strike="noStrike">
              <a:solidFill>
                <a:schemeClr val="tx1"/>
              </a:solidFill>
              <a:latin typeface="Arial"/>
              <a:ea typeface="Arial"/>
              <a:cs typeface="Arial"/>
              <a:sym typeface="Arial"/>
            </a:rPr>
            <a:t>En la misma hoja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r>
            <a:rPr lang="en-US" sz="1200" b="1" i="1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1. Mediante una tabla dinamica, mostrar el salario maximo por zona, area, sección y cargo para cada país. Luego graficarlo de</a:t>
          </a:r>
          <a:r>
            <a:rPr lang="en-US" sz="1200" b="1" i="1" u="none" strike="noStrike" baseline="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 la mejor manera</a:t>
          </a:r>
          <a:r>
            <a:rPr lang="en-US" sz="1200" b="1" i="1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rPr lang="es-ES" sz="1200" b="1" i="1" u="none" strike="noStrike">
              <a:solidFill>
                <a:schemeClr val="tx1"/>
              </a:solidFill>
              <a:latin typeface="Arial"/>
              <a:ea typeface="Arial"/>
              <a:cs typeface="Arial"/>
              <a:sym typeface="Arial"/>
            </a:rPr>
            <a:t>Colocar</a:t>
          </a:r>
          <a:r>
            <a:rPr lang="es-ES" sz="1200" b="1" i="1" u="none" strike="noStrike" baseline="0">
              <a:solidFill>
                <a:schemeClr val="tx1"/>
              </a:solidFill>
              <a:latin typeface="Arial"/>
              <a:ea typeface="Arial"/>
              <a:cs typeface="Arial"/>
              <a:sym typeface="Arial"/>
            </a:rPr>
            <a:t> botones de segmentación de datos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rPr lang="es-ES" sz="1200" b="1" i="1" u="none" strike="noStrike" baseline="0">
              <a:solidFill>
                <a:schemeClr val="tx1"/>
              </a:solidFill>
              <a:latin typeface="Arial"/>
              <a:ea typeface="Arial"/>
              <a:cs typeface="Arial"/>
              <a:sym typeface="Arial"/>
            </a:rPr>
            <a:t>-No mostrar totales de fila</a:t>
          </a:r>
          <a:endParaRPr lang="es-ES" sz="1200" b="1" i="1" u="none" strike="noStrike">
            <a:solidFill>
              <a:schemeClr val="tx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lang="es-PE" sz="1200" b="1" i="1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1" i="1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r>
            <a:rPr lang="en-US" sz="1200" b="1" i="1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2. Mediante una</a:t>
          </a:r>
          <a:r>
            <a:rPr lang="en-US" sz="1200" b="1" i="1" u="none" strike="noStrike" baseline="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 tabla</a:t>
          </a:r>
          <a:r>
            <a:rPr lang="en-US" sz="1200" b="1" i="1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 dinamica, mostrar el promedio de los salarios por zona y area en Perú.Luego graficarlo de la mejor</a:t>
          </a:r>
          <a:r>
            <a:rPr lang="en-US" sz="1200" b="1" i="1" u="none" strike="noStrike" baseline="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 manera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  <a:tabLst/>
            <a:defRPr/>
          </a:pPr>
          <a:r>
            <a:rPr lang="es-ES" sz="1200" b="1" i="1" u="none" strike="noStrike">
              <a:solidFill>
                <a:schemeClr val="tx1"/>
              </a:solidFill>
              <a:latin typeface="Arial"/>
              <a:ea typeface="Arial"/>
              <a:cs typeface="Arial"/>
            </a:rPr>
            <a:t>Colocar botones de segmentación de datos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  <a:tabLst/>
            <a:defRPr/>
          </a:pPr>
          <a:r>
            <a:rPr lang="es-ES" sz="1200" b="1" i="1" u="none" strike="noStrike" baseline="0">
              <a:solidFill>
                <a:schemeClr val="tx1"/>
              </a:solidFill>
              <a:latin typeface="Arial"/>
              <a:ea typeface="Arial"/>
              <a:cs typeface="Arial"/>
            </a:rPr>
            <a:t>-No mostrar totales de fila</a:t>
          </a:r>
          <a:endParaRPr lang="es-PE" sz="1200" b="1" i="1" u="none" strike="noStrike" baseline="0">
            <a:solidFill>
              <a:schemeClr val="tx1"/>
            </a:solidFill>
            <a:latin typeface="Arial"/>
            <a:ea typeface="Arial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  <a:tabLst/>
            <a:defRPr/>
          </a:pPr>
          <a:endParaRPr lang="es-PE" sz="1200" b="1" i="1" u="none" strike="noStrike">
            <a:solidFill>
              <a:schemeClr val="tx1"/>
            </a:solidFill>
            <a:latin typeface="Arial"/>
            <a:ea typeface="Arial"/>
            <a:cs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endParaRPr sz="1400"/>
        </a:p>
      </xdr:txBody>
    </xdr:sp>
    <xdr:clientData fLocksWithSheet="0"/>
  </xdr:oneCellAnchor>
  <xdr:twoCellAnchor>
    <xdr:from>
      <xdr:col>14</xdr:col>
      <xdr:colOff>20782</xdr:colOff>
      <xdr:row>4</xdr:row>
      <xdr:rowOff>6233</xdr:rowOff>
    </xdr:from>
    <xdr:to>
      <xdr:col>39</xdr:col>
      <xdr:colOff>152400</xdr:colOff>
      <xdr:row>76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7E106E-A57E-4A1E-8B93-C5F154AAB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vier/Downloads/curso%20excel/laura/7.Familia%20BUSC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Función BUSCAR"/>
      <sheetName val="Hoja1"/>
      <sheetName val="Funciones BUSCARH ó V"/>
      <sheetName val="Práctica BUSCAR"/>
      <sheetName val="Práctica2.BUSCAR"/>
      <sheetName val="Práctica2.BUSCAR SOLUCIÓN"/>
      <sheetName val="Hoja2"/>
    </sheetNames>
    <sheetDataSet>
      <sheetData sheetId="0"/>
      <sheetData sheetId="1"/>
      <sheetData sheetId="2">
        <row r="7">
          <cell r="A7" t="str">
            <v>DOBLES</v>
          </cell>
        </row>
        <row r="8">
          <cell r="A8" t="str">
            <v>SUITE</v>
          </cell>
        </row>
        <row r="9">
          <cell r="A9" t="str">
            <v>TRIPLES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ny Salas Jimenez" refreshedDate="46075.424897916666" createdVersion="7" refreshedVersion="7" minRefreshableVersion="3" recordCount="200" xr:uid="{6B20E3D3-FEF3-4782-BE3B-8D0E06A59C5F}">
  <cacheSource type="worksheet">
    <worksheetSource ref="A3:G203" sheet="P_4"/>
  </cacheSource>
  <cacheFields count="7">
    <cacheField name="PAÍS" numFmtId="0">
      <sharedItems count="3">
        <s v="CHILE"/>
        <s v="PERÚ"/>
        <s v="ARGENTINA"/>
      </sharedItems>
    </cacheField>
    <cacheField name="ZONA" numFmtId="0">
      <sharedItems count="3">
        <s v="NORTE"/>
        <s v="CENTRO"/>
        <s v="SUR"/>
      </sharedItems>
    </cacheField>
    <cacheField name="ÁREA" numFmtId="0">
      <sharedItems count="3">
        <s v="HOGAR"/>
        <s v="POLIMEROS"/>
        <s v="JUGUETES"/>
      </sharedItems>
    </cacheField>
    <cacheField name="SECCIÓN" numFmtId="0">
      <sharedItems count="3">
        <s v="CONTAB."/>
        <s v="VENTAS"/>
        <s v="PRODUC."/>
      </sharedItems>
    </cacheField>
    <cacheField name="CARGO" numFmtId="0">
      <sharedItems count="3">
        <s v="AUXIL."/>
        <s v="RESP."/>
        <s v="REPR."/>
      </sharedItems>
    </cacheField>
    <cacheField name="TIPO" numFmtId="0">
      <sharedItems/>
    </cacheField>
    <cacheField name="SALARIO" numFmtId="0">
      <sharedItems containsSemiMixedTypes="0" containsString="0" containsNumber="1" containsInteger="1" minValue="505326" maxValue="14986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x v="0"/>
    <s v="UNO"/>
    <n v="713472"/>
  </r>
  <r>
    <x v="1"/>
    <x v="1"/>
    <x v="1"/>
    <x v="1"/>
    <x v="1"/>
    <s v="UNO"/>
    <n v="722278"/>
  </r>
  <r>
    <x v="2"/>
    <x v="1"/>
    <x v="0"/>
    <x v="0"/>
    <x v="0"/>
    <s v="DOS"/>
    <n v="704751"/>
  </r>
  <r>
    <x v="1"/>
    <x v="0"/>
    <x v="1"/>
    <x v="1"/>
    <x v="1"/>
    <s v="TRES"/>
    <n v="575546"/>
  </r>
  <r>
    <x v="2"/>
    <x v="2"/>
    <x v="0"/>
    <x v="0"/>
    <x v="1"/>
    <s v="TRES"/>
    <n v="657027"/>
  </r>
  <r>
    <x v="1"/>
    <x v="2"/>
    <x v="0"/>
    <x v="0"/>
    <x v="2"/>
    <s v="TRES"/>
    <n v="878209"/>
  </r>
  <r>
    <x v="2"/>
    <x v="1"/>
    <x v="0"/>
    <x v="1"/>
    <x v="1"/>
    <s v="UNO"/>
    <n v="1107456"/>
  </r>
  <r>
    <x v="1"/>
    <x v="1"/>
    <x v="0"/>
    <x v="2"/>
    <x v="2"/>
    <s v="UNO"/>
    <n v="545892"/>
  </r>
  <r>
    <x v="0"/>
    <x v="0"/>
    <x v="0"/>
    <x v="0"/>
    <x v="1"/>
    <s v="TRES"/>
    <n v="1417146"/>
  </r>
  <r>
    <x v="0"/>
    <x v="2"/>
    <x v="0"/>
    <x v="0"/>
    <x v="0"/>
    <s v="DOS"/>
    <n v="1010736"/>
  </r>
  <r>
    <x v="1"/>
    <x v="1"/>
    <x v="0"/>
    <x v="0"/>
    <x v="1"/>
    <s v="DOS"/>
    <n v="657667"/>
  </r>
  <r>
    <x v="0"/>
    <x v="2"/>
    <x v="2"/>
    <x v="1"/>
    <x v="0"/>
    <s v="DOS"/>
    <n v="1164574"/>
  </r>
  <r>
    <x v="1"/>
    <x v="2"/>
    <x v="0"/>
    <x v="0"/>
    <x v="0"/>
    <s v="TRES"/>
    <n v="1493440"/>
  </r>
  <r>
    <x v="1"/>
    <x v="0"/>
    <x v="2"/>
    <x v="2"/>
    <x v="0"/>
    <s v="TRES"/>
    <n v="1293196"/>
  </r>
  <r>
    <x v="1"/>
    <x v="1"/>
    <x v="1"/>
    <x v="2"/>
    <x v="0"/>
    <s v="UNO"/>
    <n v="698144"/>
  </r>
  <r>
    <x v="2"/>
    <x v="1"/>
    <x v="1"/>
    <x v="2"/>
    <x v="1"/>
    <s v="TRES"/>
    <n v="691201"/>
  </r>
  <r>
    <x v="1"/>
    <x v="0"/>
    <x v="2"/>
    <x v="2"/>
    <x v="1"/>
    <s v="DOS"/>
    <n v="1498688"/>
  </r>
  <r>
    <x v="1"/>
    <x v="2"/>
    <x v="1"/>
    <x v="1"/>
    <x v="1"/>
    <s v="DOS"/>
    <n v="828206"/>
  </r>
  <r>
    <x v="1"/>
    <x v="1"/>
    <x v="1"/>
    <x v="2"/>
    <x v="2"/>
    <s v="DOS"/>
    <n v="1031693"/>
  </r>
  <r>
    <x v="1"/>
    <x v="2"/>
    <x v="2"/>
    <x v="2"/>
    <x v="0"/>
    <s v="DOS"/>
    <n v="1477925"/>
  </r>
  <r>
    <x v="1"/>
    <x v="2"/>
    <x v="1"/>
    <x v="2"/>
    <x v="2"/>
    <s v="DOS"/>
    <n v="917037"/>
  </r>
  <r>
    <x v="0"/>
    <x v="2"/>
    <x v="2"/>
    <x v="2"/>
    <x v="0"/>
    <s v="DOS"/>
    <n v="1434585"/>
  </r>
  <r>
    <x v="2"/>
    <x v="1"/>
    <x v="1"/>
    <x v="0"/>
    <x v="1"/>
    <s v="DOS"/>
    <n v="1276223"/>
  </r>
  <r>
    <x v="0"/>
    <x v="0"/>
    <x v="2"/>
    <x v="2"/>
    <x v="1"/>
    <s v="DOS"/>
    <n v="1002085"/>
  </r>
  <r>
    <x v="0"/>
    <x v="2"/>
    <x v="2"/>
    <x v="1"/>
    <x v="2"/>
    <s v="DOS"/>
    <n v="694195"/>
  </r>
  <r>
    <x v="1"/>
    <x v="1"/>
    <x v="1"/>
    <x v="0"/>
    <x v="2"/>
    <s v="TRES"/>
    <n v="906655"/>
  </r>
  <r>
    <x v="1"/>
    <x v="0"/>
    <x v="1"/>
    <x v="1"/>
    <x v="1"/>
    <s v="DOS"/>
    <n v="1473816"/>
  </r>
  <r>
    <x v="0"/>
    <x v="1"/>
    <x v="0"/>
    <x v="1"/>
    <x v="2"/>
    <s v="DOS"/>
    <n v="562945"/>
  </r>
  <r>
    <x v="2"/>
    <x v="0"/>
    <x v="2"/>
    <x v="1"/>
    <x v="2"/>
    <s v="UNO"/>
    <n v="899768"/>
  </r>
  <r>
    <x v="0"/>
    <x v="2"/>
    <x v="2"/>
    <x v="1"/>
    <x v="2"/>
    <s v="DOS"/>
    <n v="838361"/>
  </r>
  <r>
    <x v="0"/>
    <x v="2"/>
    <x v="0"/>
    <x v="2"/>
    <x v="0"/>
    <s v="TRES"/>
    <n v="759444"/>
  </r>
  <r>
    <x v="2"/>
    <x v="2"/>
    <x v="0"/>
    <x v="1"/>
    <x v="0"/>
    <s v="UNO"/>
    <n v="717215"/>
  </r>
  <r>
    <x v="1"/>
    <x v="1"/>
    <x v="0"/>
    <x v="1"/>
    <x v="2"/>
    <s v="TRES"/>
    <n v="981447"/>
  </r>
  <r>
    <x v="1"/>
    <x v="0"/>
    <x v="2"/>
    <x v="1"/>
    <x v="1"/>
    <s v="DOS"/>
    <n v="1006809"/>
  </r>
  <r>
    <x v="2"/>
    <x v="2"/>
    <x v="0"/>
    <x v="2"/>
    <x v="1"/>
    <s v="TRES"/>
    <n v="1085908"/>
  </r>
  <r>
    <x v="2"/>
    <x v="2"/>
    <x v="2"/>
    <x v="2"/>
    <x v="2"/>
    <s v="UNO"/>
    <n v="922904"/>
  </r>
  <r>
    <x v="0"/>
    <x v="1"/>
    <x v="2"/>
    <x v="1"/>
    <x v="2"/>
    <s v="DOS"/>
    <n v="1051840"/>
  </r>
  <r>
    <x v="1"/>
    <x v="1"/>
    <x v="1"/>
    <x v="1"/>
    <x v="0"/>
    <s v="UNO"/>
    <n v="1336043"/>
  </r>
  <r>
    <x v="2"/>
    <x v="0"/>
    <x v="2"/>
    <x v="0"/>
    <x v="1"/>
    <s v="TRES"/>
    <n v="1492167"/>
  </r>
  <r>
    <x v="1"/>
    <x v="2"/>
    <x v="1"/>
    <x v="1"/>
    <x v="0"/>
    <s v="DOS"/>
    <n v="789942"/>
  </r>
  <r>
    <x v="2"/>
    <x v="2"/>
    <x v="0"/>
    <x v="1"/>
    <x v="2"/>
    <s v="UNO"/>
    <n v="1241480"/>
  </r>
  <r>
    <x v="2"/>
    <x v="1"/>
    <x v="2"/>
    <x v="1"/>
    <x v="1"/>
    <s v="UNO"/>
    <n v="795035"/>
  </r>
  <r>
    <x v="0"/>
    <x v="1"/>
    <x v="0"/>
    <x v="2"/>
    <x v="2"/>
    <s v="UNO"/>
    <n v="1257854"/>
  </r>
  <r>
    <x v="0"/>
    <x v="0"/>
    <x v="0"/>
    <x v="1"/>
    <x v="2"/>
    <s v="UNO"/>
    <n v="602624"/>
  </r>
  <r>
    <x v="0"/>
    <x v="1"/>
    <x v="0"/>
    <x v="0"/>
    <x v="1"/>
    <s v="DOS"/>
    <n v="586818"/>
  </r>
  <r>
    <x v="0"/>
    <x v="0"/>
    <x v="2"/>
    <x v="0"/>
    <x v="2"/>
    <s v="TRES"/>
    <n v="1359324"/>
  </r>
  <r>
    <x v="2"/>
    <x v="2"/>
    <x v="2"/>
    <x v="0"/>
    <x v="1"/>
    <s v="DOS"/>
    <n v="1137878"/>
  </r>
  <r>
    <x v="1"/>
    <x v="2"/>
    <x v="2"/>
    <x v="1"/>
    <x v="0"/>
    <s v="UNO"/>
    <n v="1319711"/>
  </r>
  <r>
    <x v="1"/>
    <x v="2"/>
    <x v="0"/>
    <x v="2"/>
    <x v="1"/>
    <s v="UNO"/>
    <n v="1096349"/>
  </r>
  <r>
    <x v="1"/>
    <x v="1"/>
    <x v="1"/>
    <x v="1"/>
    <x v="0"/>
    <s v="UNO"/>
    <n v="1455333"/>
  </r>
  <r>
    <x v="0"/>
    <x v="1"/>
    <x v="0"/>
    <x v="0"/>
    <x v="0"/>
    <s v="UNO"/>
    <n v="1037004"/>
  </r>
  <r>
    <x v="2"/>
    <x v="2"/>
    <x v="2"/>
    <x v="0"/>
    <x v="2"/>
    <s v="UNO"/>
    <n v="636681"/>
  </r>
  <r>
    <x v="1"/>
    <x v="2"/>
    <x v="1"/>
    <x v="1"/>
    <x v="1"/>
    <s v="TRES"/>
    <n v="1061394"/>
  </r>
  <r>
    <x v="2"/>
    <x v="2"/>
    <x v="1"/>
    <x v="0"/>
    <x v="0"/>
    <s v="TRES"/>
    <n v="1163242"/>
  </r>
  <r>
    <x v="0"/>
    <x v="2"/>
    <x v="2"/>
    <x v="1"/>
    <x v="2"/>
    <s v="UNO"/>
    <n v="1416240"/>
  </r>
  <r>
    <x v="1"/>
    <x v="1"/>
    <x v="0"/>
    <x v="1"/>
    <x v="2"/>
    <s v="DOS"/>
    <n v="1110152"/>
  </r>
  <r>
    <x v="1"/>
    <x v="2"/>
    <x v="2"/>
    <x v="1"/>
    <x v="0"/>
    <s v="DOS"/>
    <n v="1020694"/>
  </r>
  <r>
    <x v="0"/>
    <x v="2"/>
    <x v="1"/>
    <x v="2"/>
    <x v="2"/>
    <s v="DOS"/>
    <n v="1447357"/>
  </r>
  <r>
    <x v="2"/>
    <x v="0"/>
    <x v="0"/>
    <x v="1"/>
    <x v="1"/>
    <s v="DOS"/>
    <n v="705041"/>
  </r>
  <r>
    <x v="1"/>
    <x v="2"/>
    <x v="2"/>
    <x v="0"/>
    <x v="2"/>
    <s v="UNO"/>
    <n v="1423951"/>
  </r>
  <r>
    <x v="2"/>
    <x v="0"/>
    <x v="1"/>
    <x v="2"/>
    <x v="1"/>
    <s v="TRES"/>
    <n v="839610"/>
  </r>
  <r>
    <x v="0"/>
    <x v="1"/>
    <x v="1"/>
    <x v="1"/>
    <x v="0"/>
    <s v="UNO"/>
    <n v="1025558"/>
  </r>
  <r>
    <x v="1"/>
    <x v="1"/>
    <x v="2"/>
    <x v="1"/>
    <x v="2"/>
    <s v="TRES"/>
    <n v="1220644"/>
  </r>
  <r>
    <x v="2"/>
    <x v="2"/>
    <x v="0"/>
    <x v="0"/>
    <x v="1"/>
    <s v="UNO"/>
    <n v="1160732"/>
  </r>
  <r>
    <x v="2"/>
    <x v="2"/>
    <x v="1"/>
    <x v="2"/>
    <x v="1"/>
    <s v="UNO"/>
    <n v="760929"/>
  </r>
  <r>
    <x v="1"/>
    <x v="1"/>
    <x v="0"/>
    <x v="2"/>
    <x v="2"/>
    <s v="TRES"/>
    <n v="1299944"/>
  </r>
  <r>
    <x v="0"/>
    <x v="2"/>
    <x v="0"/>
    <x v="2"/>
    <x v="2"/>
    <s v="UNO"/>
    <n v="968576"/>
  </r>
  <r>
    <x v="2"/>
    <x v="1"/>
    <x v="2"/>
    <x v="1"/>
    <x v="0"/>
    <s v="UNO"/>
    <n v="598902"/>
  </r>
  <r>
    <x v="2"/>
    <x v="0"/>
    <x v="1"/>
    <x v="0"/>
    <x v="2"/>
    <s v="UNO"/>
    <n v="1033788"/>
  </r>
  <r>
    <x v="1"/>
    <x v="2"/>
    <x v="0"/>
    <x v="0"/>
    <x v="1"/>
    <s v="TRES"/>
    <n v="1050167"/>
  </r>
  <r>
    <x v="2"/>
    <x v="0"/>
    <x v="2"/>
    <x v="2"/>
    <x v="2"/>
    <s v="DOS"/>
    <n v="902505"/>
  </r>
  <r>
    <x v="1"/>
    <x v="2"/>
    <x v="2"/>
    <x v="1"/>
    <x v="1"/>
    <s v="TRES"/>
    <n v="720399"/>
  </r>
  <r>
    <x v="2"/>
    <x v="2"/>
    <x v="1"/>
    <x v="0"/>
    <x v="2"/>
    <s v="DOS"/>
    <n v="1250461"/>
  </r>
  <r>
    <x v="1"/>
    <x v="1"/>
    <x v="0"/>
    <x v="2"/>
    <x v="0"/>
    <s v="UNO"/>
    <n v="997968"/>
  </r>
  <r>
    <x v="2"/>
    <x v="1"/>
    <x v="2"/>
    <x v="2"/>
    <x v="0"/>
    <s v="DOS"/>
    <n v="1263487"/>
  </r>
  <r>
    <x v="1"/>
    <x v="0"/>
    <x v="1"/>
    <x v="1"/>
    <x v="1"/>
    <s v="DOS"/>
    <n v="926119"/>
  </r>
  <r>
    <x v="0"/>
    <x v="1"/>
    <x v="1"/>
    <x v="1"/>
    <x v="0"/>
    <s v="DOS"/>
    <n v="627428"/>
  </r>
  <r>
    <x v="1"/>
    <x v="0"/>
    <x v="2"/>
    <x v="0"/>
    <x v="2"/>
    <s v="DOS"/>
    <n v="1189550"/>
  </r>
  <r>
    <x v="2"/>
    <x v="2"/>
    <x v="0"/>
    <x v="1"/>
    <x v="0"/>
    <s v="UNO"/>
    <n v="788995"/>
  </r>
  <r>
    <x v="1"/>
    <x v="2"/>
    <x v="0"/>
    <x v="0"/>
    <x v="2"/>
    <s v="TRES"/>
    <n v="933769"/>
  </r>
  <r>
    <x v="1"/>
    <x v="1"/>
    <x v="1"/>
    <x v="0"/>
    <x v="1"/>
    <s v="TRES"/>
    <n v="759211"/>
  </r>
  <r>
    <x v="1"/>
    <x v="1"/>
    <x v="0"/>
    <x v="0"/>
    <x v="0"/>
    <s v="UNO"/>
    <n v="1426348"/>
  </r>
  <r>
    <x v="0"/>
    <x v="2"/>
    <x v="1"/>
    <x v="0"/>
    <x v="0"/>
    <s v="UNO"/>
    <n v="1379159"/>
  </r>
  <r>
    <x v="1"/>
    <x v="0"/>
    <x v="2"/>
    <x v="2"/>
    <x v="0"/>
    <s v="UNO"/>
    <n v="941266"/>
  </r>
  <r>
    <x v="2"/>
    <x v="0"/>
    <x v="0"/>
    <x v="0"/>
    <x v="2"/>
    <s v="TRES"/>
    <n v="1394088"/>
  </r>
  <r>
    <x v="0"/>
    <x v="1"/>
    <x v="2"/>
    <x v="0"/>
    <x v="0"/>
    <s v="DOS"/>
    <n v="551415"/>
  </r>
  <r>
    <x v="1"/>
    <x v="1"/>
    <x v="2"/>
    <x v="0"/>
    <x v="0"/>
    <s v="DOS"/>
    <n v="661140"/>
  </r>
  <r>
    <x v="1"/>
    <x v="0"/>
    <x v="0"/>
    <x v="2"/>
    <x v="1"/>
    <s v="DOS"/>
    <n v="1275690"/>
  </r>
  <r>
    <x v="0"/>
    <x v="2"/>
    <x v="1"/>
    <x v="0"/>
    <x v="0"/>
    <s v="DOS"/>
    <n v="771469"/>
  </r>
  <r>
    <x v="0"/>
    <x v="2"/>
    <x v="0"/>
    <x v="1"/>
    <x v="2"/>
    <s v="UNO"/>
    <n v="811880"/>
  </r>
  <r>
    <x v="0"/>
    <x v="2"/>
    <x v="0"/>
    <x v="0"/>
    <x v="0"/>
    <s v="DOS"/>
    <n v="693500"/>
  </r>
  <r>
    <x v="2"/>
    <x v="0"/>
    <x v="1"/>
    <x v="1"/>
    <x v="1"/>
    <s v="DOS"/>
    <n v="1079581"/>
  </r>
  <r>
    <x v="1"/>
    <x v="2"/>
    <x v="0"/>
    <x v="0"/>
    <x v="0"/>
    <s v="UNO"/>
    <n v="778329"/>
  </r>
  <r>
    <x v="2"/>
    <x v="0"/>
    <x v="1"/>
    <x v="2"/>
    <x v="2"/>
    <s v="DOS"/>
    <n v="1190102"/>
  </r>
  <r>
    <x v="1"/>
    <x v="1"/>
    <x v="0"/>
    <x v="2"/>
    <x v="2"/>
    <s v="UNO"/>
    <n v="1209871"/>
  </r>
  <r>
    <x v="1"/>
    <x v="0"/>
    <x v="1"/>
    <x v="1"/>
    <x v="2"/>
    <s v="TRES"/>
    <n v="1361703"/>
  </r>
  <r>
    <x v="2"/>
    <x v="1"/>
    <x v="0"/>
    <x v="2"/>
    <x v="1"/>
    <s v="TRES"/>
    <n v="505326"/>
  </r>
  <r>
    <x v="2"/>
    <x v="0"/>
    <x v="2"/>
    <x v="0"/>
    <x v="0"/>
    <s v="TRES"/>
    <n v="1021998"/>
  </r>
  <r>
    <x v="2"/>
    <x v="2"/>
    <x v="2"/>
    <x v="0"/>
    <x v="1"/>
    <s v="DOS"/>
    <n v="1261926"/>
  </r>
  <r>
    <x v="1"/>
    <x v="1"/>
    <x v="0"/>
    <x v="0"/>
    <x v="2"/>
    <s v="DOS"/>
    <n v="592159"/>
  </r>
  <r>
    <x v="1"/>
    <x v="0"/>
    <x v="0"/>
    <x v="2"/>
    <x v="2"/>
    <s v="DOS"/>
    <n v="808067"/>
  </r>
  <r>
    <x v="1"/>
    <x v="1"/>
    <x v="0"/>
    <x v="1"/>
    <x v="2"/>
    <s v="DOS"/>
    <n v="1238960"/>
  </r>
  <r>
    <x v="0"/>
    <x v="0"/>
    <x v="0"/>
    <x v="0"/>
    <x v="2"/>
    <s v="TRES"/>
    <n v="1037668"/>
  </r>
  <r>
    <x v="1"/>
    <x v="0"/>
    <x v="0"/>
    <x v="0"/>
    <x v="0"/>
    <s v="UNO"/>
    <n v="1152233"/>
  </r>
  <r>
    <x v="2"/>
    <x v="0"/>
    <x v="0"/>
    <x v="2"/>
    <x v="0"/>
    <s v="DOS"/>
    <n v="1294037"/>
  </r>
  <r>
    <x v="2"/>
    <x v="0"/>
    <x v="2"/>
    <x v="0"/>
    <x v="1"/>
    <s v="TRES"/>
    <n v="957880"/>
  </r>
  <r>
    <x v="0"/>
    <x v="0"/>
    <x v="2"/>
    <x v="2"/>
    <x v="1"/>
    <s v="UNO"/>
    <n v="558316"/>
  </r>
  <r>
    <x v="0"/>
    <x v="2"/>
    <x v="0"/>
    <x v="1"/>
    <x v="1"/>
    <s v="DOS"/>
    <n v="1434406"/>
  </r>
  <r>
    <x v="1"/>
    <x v="0"/>
    <x v="0"/>
    <x v="1"/>
    <x v="0"/>
    <s v="TRES"/>
    <n v="517415"/>
  </r>
  <r>
    <x v="0"/>
    <x v="0"/>
    <x v="0"/>
    <x v="1"/>
    <x v="0"/>
    <s v="DOS"/>
    <n v="753270"/>
  </r>
  <r>
    <x v="2"/>
    <x v="2"/>
    <x v="1"/>
    <x v="1"/>
    <x v="1"/>
    <s v="UNO"/>
    <n v="1082288"/>
  </r>
  <r>
    <x v="0"/>
    <x v="2"/>
    <x v="1"/>
    <x v="0"/>
    <x v="1"/>
    <s v="UNO"/>
    <n v="1367520"/>
  </r>
  <r>
    <x v="1"/>
    <x v="2"/>
    <x v="2"/>
    <x v="2"/>
    <x v="0"/>
    <s v="TRES"/>
    <n v="626213"/>
  </r>
  <r>
    <x v="1"/>
    <x v="2"/>
    <x v="0"/>
    <x v="0"/>
    <x v="1"/>
    <s v="DOS"/>
    <n v="1251830"/>
  </r>
  <r>
    <x v="1"/>
    <x v="2"/>
    <x v="2"/>
    <x v="2"/>
    <x v="0"/>
    <s v="DOS"/>
    <n v="1439890"/>
  </r>
  <r>
    <x v="0"/>
    <x v="2"/>
    <x v="0"/>
    <x v="0"/>
    <x v="2"/>
    <s v="UNO"/>
    <n v="1374829"/>
  </r>
  <r>
    <x v="1"/>
    <x v="0"/>
    <x v="2"/>
    <x v="1"/>
    <x v="2"/>
    <s v="TRES"/>
    <n v="1416252"/>
  </r>
  <r>
    <x v="0"/>
    <x v="2"/>
    <x v="2"/>
    <x v="1"/>
    <x v="1"/>
    <s v="DOS"/>
    <n v="1229646"/>
  </r>
  <r>
    <x v="2"/>
    <x v="1"/>
    <x v="1"/>
    <x v="1"/>
    <x v="0"/>
    <s v="TRES"/>
    <n v="571521"/>
  </r>
  <r>
    <x v="2"/>
    <x v="1"/>
    <x v="1"/>
    <x v="1"/>
    <x v="1"/>
    <s v="UNO"/>
    <n v="1120730"/>
  </r>
  <r>
    <x v="2"/>
    <x v="1"/>
    <x v="2"/>
    <x v="2"/>
    <x v="1"/>
    <s v="TRES"/>
    <n v="906977"/>
  </r>
  <r>
    <x v="2"/>
    <x v="0"/>
    <x v="1"/>
    <x v="0"/>
    <x v="0"/>
    <s v="TRES"/>
    <n v="639800"/>
  </r>
  <r>
    <x v="0"/>
    <x v="1"/>
    <x v="1"/>
    <x v="1"/>
    <x v="2"/>
    <s v="DOS"/>
    <n v="687718"/>
  </r>
  <r>
    <x v="0"/>
    <x v="2"/>
    <x v="2"/>
    <x v="2"/>
    <x v="0"/>
    <s v="UNO"/>
    <n v="1292970"/>
  </r>
  <r>
    <x v="2"/>
    <x v="2"/>
    <x v="2"/>
    <x v="2"/>
    <x v="1"/>
    <s v="DOS"/>
    <n v="1478306"/>
  </r>
  <r>
    <x v="2"/>
    <x v="0"/>
    <x v="1"/>
    <x v="1"/>
    <x v="0"/>
    <s v="UNO"/>
    <n v="660249"/>
  </r>
  <r>
    <x v="1"/>
    <x v="2"/>
    <x v="1"/>
    <x v="0"/>
    <x v="1"/>
    <s v="DOS"/>
    <n v="519145"/>
  </r>
  <r>
    <x v="0"/>
    <x v="1"/>
    <x v="1"/>
    <x v="1"/>
    <x v="1"/>
    <s v="TRES"/>
    <n v="734638"/>
  </r>
  <r>
    <x v="0"/>
    <x v="2"/>
    <x v="1"/>
    <x v="1"/>
    <x v="2"/>
    <s v="UNO"/>
    <n v="1099235"/>
  </r>
  <r>
    <x v="2"/>
    <x v="2"/>
    <x v="0"/>
    <x v="2"/>
    <x v="2"/>
    <s v="UNO"/>
    <n v="803782"/>
  </r>
  <r>
    <x v="2"/>
    <x v="0"/>
    <x v="0"/>
    <x v="2"/>
    <x v="0"/>
    <s v="TRES"/>
    <n v="1162641"/>
  </r>
  <r>
    <x v="2"/>
    <x v="1"/>
    <x v="0"/>
    <x v="1"/>
    <x v="0"/>
    <s v="DOS"/>
    <n v="509235"/>
  </r>
  <r>
    <x v="0"/>
    <x v="1"/>
    <x v="1"/>
    <x v="0"/>
    <x v="2"/>
    <s v="UNO"/>
    <n v="1416706"/>
  </r>
  <r>
    <x v="0"/>
    <x v="2"/>
    <x v="1"/>
    <x v="1"/>
    <x v="1"/>
    <s v="UNO"/>
    <n v="688150"/>
  </r>
  <r>
    <x v="0"/>
    <x v="2"/>
    <x v="2"/>
    <x v="2"/>
    <x v="1"/>
    <s v="DOS"/>
    <n v="533703"/>
  </r>
  <r>
    <x v="0"/>
    <x v="2"/>
    <x v="0"/>
    <x v="2"/>
    <x v="0"/>
    <s v="TRES"/>
    <n v="716081"/>
  </r>
  <r>
    <x v="0"/>
    <x v="2"/>
    <x v="1"/>
    <x v="2"/>
    <x v="1"/>
    <s v="UNO"/>
    <n v="843992"/>
  </r>
  <r>
    <x v="0"/>
    <x v="1"/>
    <x v="2"/>
    <x v="0"/>
    <x v="1"/>
    <s v="UNO"/>
    <n v="1058599"/>
  </r>
  <r>
    <x v="0"/>
    <x v="1"/>
    <x v="2"/>
    <x v="0"/>
    <x v="0"/>
    <s v="TRES"/>
    <n v="714654"/>
  </r>
  <r>
    <x v="1"/>
    <x v="1"/>
    <x v="0"/>
    <x v="2"/>
    <x v="0"/>
    <s v="TRES"/>
    <n v="830230"/>
  </r>
  <r>
    <x v="2"/>
    <x v="2"/>
    <x v="1"/>
    <x v="0"/>
    <x v="2"/>
    <s v="DOS"/>
    <n v="908467"/>
  </r>
  <r>
    <x v="0"/>
    <x v="2"/>
    <x v="1"/>
    <x v="0"/>
    <x v="0"/>
    <s v="UNO"/>
    <n v="1270002"/>
  </r>
  <r>
    <x v="1"/>
    <x v="0"/>
    <x v="1"/>
    <x v="0"/>
    <x v="2"/>
    <s v="UNO"/>
    <n v="909004"/>
  </r>
  <r>
    <x v="1"/>
    <x v="2"/>
    <x v="1"/>
    <x v="2"/>
    <x v="1"/>
    <s v="TRES"/>
    <n v="546442"/>
  </r>
  <r>
    <x v="2"/>
    <x v="0"/>
    <x v="2"/>
    <x v="1"/>
    <x v="1"/>
    <s v="DOS"/>
    <n v="819388"/>
  </r>
  <r>
    <x v="1"/>
    <x v="1"/>
    <x v="2"/>
    <x v="0"/>
    <x v="1"/>
    <s v="DOS"/>
    <n v="1428481"/>
  </r>
  <r>
    <x v="1"/>
    <x v="1"/>
    <x v="2"/>
    <x v="0"/>
    <x v="1"/>
    <s v="TRES"/>
    <n v="1325790"/>
  </r>
  <r>
    <x v="0"/>
    <x v="0"/>
    <x v="0"/>
    <x v="2"/>
    <x v="0"/>
    <s v="DOS"/>
    <n v="798284"/>
  </r>
  <r>
    <x v="0"/>
    <x v="2"/>
    <x v="2"/>
    <x v="0"/>
    <x v="1"/>
    <s v="TRES"/>
    <n v="1165160"/>
  </r>
  <r>
    <x v="1"/>
    <x v="0"/>
    <x v="0"/>
    <x v="0"/>
    <x v="1"/>
    <s v="DOS"/>
    <n v="1248065"/>
  </r>
  <r>
    <x v="2"/>
    <x v="2"/>
    <x v="0"/>
    <x v="1"/>
    <x v="0"/>
    <s v="UNO"/>
    <n v="1467094"/>
  </r>
  <r>
    <x v="0"/>
    <x v="1"/>
    <x v="1"/>
    <x v="2"/>
    <x v="1"/>
    <s v="TRES"/>
    <n v="544607"/>
  </r>
  <r>
    <x v="2"/>
    <x v="0"/>
    <x v="2"/>
    <x v="1"/>
    <x v="1"/>
    <s v="TRES"/>
    <n v="798354"/>
  </r>
  <r>
    <x v="2"/>
    <x v="2"/>
    <x v="1"/>
    <x v="2"/>
    <x v="1"/>
    <s v="UNO"/>
    <n v="848160"/>
  </r>
  <r>
    <x v="0"/>
    <x v="0"/>
    <x v="1"/>
    <x v="1"/>
    <x v="0"/>
    <s v="UNO"/>
    <n v="996322"/>
  </r>
  <r>
    <x v="0"/>
    <x v="1"/>
    <x v="0"/>
    <x v="0"/>
    <x v="2"/>
    <s v="UNO"/>
    <n v="1089699"/>
  </r>
  <r>
    <x v="2"/>
    <x v="1"/>
    <x v="2"/>
    <x v="2"/>
    <x v="1"/>
    <s v="DOS"/>
    <n v="1153431"/>
  </r>
  <r>
    <x v="2"/>
    <x v="2"/>
    <x v="1"/>
    <x v="1"/>
    <x v="0"/>
    <s v="UNO"/>
    <n v="1057688"/>
  </r>
  <r>
    <x v="2"/>
    <x v="2"/>
    <x v="1"/>
    <x v="1"/>
    <x v="1"/>
    <s v="TRES"/>
    <n v="773891"/>
  </r>
  <r>
    <x v="1"/>
    <x v="2"/>
    <x v="0"/>
    <x v="1"/>
    <x v="1"/>
    <s v="DOS"/>
    <n v="604327"/>
  </r>
  <r>
    <x v="1"/>
    <x v="1"/>
    <x v="2"/>
    <x v="1"/>
    <x v="0"/>
    <s v="TRES"/>
    <n v="1309380"/>
  </r>
  <r>
    <x v="2"/>
    <x v="0"/>
    <x v="2"/>
    <x v="0"/>
    <x v="0"/>
    <s v="TRES"/>
    <n v="641666"/>
  </r>
  <r>
    <x v="1"/>
    <x v="0"/>
    <x v="2"/>
    <x v="0"/>
    <x v="0"/>
    <s v="DOS"/>
    <n v="1020297"/>
  </r>
  <r>
    <x v="2"/>
    <x v="1"/>
    <x v="2"/>
    <x v="0"/>
    <x v="1"/>
    <s v="TRES"/>
    <n v="548567"/>
  </r>
  <r>
    <x v="1"/>
    <x v="2"/>
    <x v="1"/>
    <x v="0"/>
    <x v="1"/>
    <s v="TRES"/>
    <n v="695976"/>
  </r>
  <r>
    <x v="1"/>
    <x v="2"/>
    <x v="1"/>
    <x v="1"/>
    <x v="1"/>
    <s v="TRES"/>
    <n v="1400298"/>
  </r>
  <r>
    <x v="1"/>
    <x v="2"/>
    <x v="2"/>
    <x v="0"/>
    <x v="2"/>
    <s v="TRES"/>
    <n v="544553"/>
  </r>
  <r>
    <x v="2"/>
    <x v="1"/>
    <x v="1"/>
    <x v="0"/>
    <x v="1"/>
    <s v="TRES"/>
    <n v="1275773"/>
  </r>
  <r>
    <x v="2"/>
    <x v="1"/>
    <x v="0"/>
    <x v="0"/>
    <x v="0"/>
    <s v="DOS"/>
    <n v="581761"/>
  </r>
  <r>
    <x v="2"/>
    <x v="1"/>
    <x v="2"/>
    <x v="2"/>
    <x v="1"/>
    <s v="TRES"/>
    <n v="691698"/>
  </r>
  <r>
    <x v="0"/>
    <x v="0"/>
    <x v="2"/>
    <x v="0"/>
    <x v="2"/>
    <s v="DOS"/>
    <n v="1377479"/>
  </r>
  <r>
    <x v="1"/>
    <x v="0"/>
    <x v="2"/>
    <x v="1"/>
    <x v="2"/>
    <s v="TRES"/>
    <n v="1432965"/>
  </r>
  <r>
    <x v="0"/>
    <x v="2"/>
    <x v="2"/>
    <x v="0"/>
    <x v="1"/>
    <s v="DOS"/>
    <n v="1368021"/>
  </r>
  <r>
    <x v="1"/>
    <x v="2"/>
    <x v="1"/>
    <x v="0"/>
    <x v="2"/>
    <s v="DOS"/>
    <n v="547388"/>
  </r>
  <r>
    <x v="1"/>
    <x v="1"/>
    <x v="2"/>
    <x v="1"/>
    <x v="0"/>
    <s v="TRES"/>
    <n v="1111574"/>
  </r>
  <r>
    <x v="1"/>
    <x v="1"/>
    <x v="0"/>
    <x v="2"/>
    <x v="0"/>
    <s v="UNO"/>
    <n v="981231"/>
  </r>
  <r>
    <x v="0"/>
    <x v="2"/>
    <x v="1"/>
    <x v="0"/>
    <x v="1"/>
    <s v="DOS"/>
    <n v="888836"/>
  </r>
  <r>
    <x v="0"/>
    <x v="0"/>
    <x v="1"/>
    <x v="1"/>
    <x v="2"/>
    <s v="DOS"/>
    <n v="1475627"/>
  </r>
  <r>
    <x v="2"/>
    <x v="2"/>
    <x v="2"/>
    <x v="0"/>
    <x v="2"/>
    <s v="TRES"/>
    <n v="1345763"/>
  </r>
  <r>
    <x v="1"/>
    <x v="2"/>
    <x v="1"/>
    <x v="1"/>
    <x v="0"/>
    <s v="DOS"/>
    <n v="953730"/>
  </r>
  <r>
    <x v="0"/>
    <x v="0"/>
    <x v="1"/>
    <x v="1"/>
    <x v="1"/>
    <s v="UNO"/>
    <n v="798857"/>
  </r>
  <r>
    <x v="1"/>
    <x v="0"/>
    <x v="1"/>
    <x v="1"/>
    <x v="1"/>
    <s v="DOS"/>
    <n v="786854"/>
  </r>
  <r>
    <x v="0"/>
    <x v="1"/>
    <x v="2"/>
    <x v="0"/>
    <x v="2"/>
    <s v="DOS"/>
    <n v="908196"/>
  </r>
  <r>
    <x v="1"/>
    <x v="1"/>
    <x v="0"/>
    <x v="2"/>
    <x v="1"/>
    <s v="UNO"/>
    <n v="608084"/>
  </r>
  <r>
    <x v="2"/>
    <x v="2"/>
    <x v="0"/>
    <x v="0"/>
    <x v="0"/>
    <s v="TRES"/>
    <n v="1208406"/>
  </r>
  <r>
    <x v="1"/>
    <x v="0"/>
    <x v="1"/>
    <x v="2"/>
    <x v="1"/>
    <s v="DOS"/>
    <n v="971795"/>
  </r>
  <r>
    <x v="2"/>
    <x v="0"/>
    <x v="0"/>
    <x v="1"/>
    <x v="0"/>
    <s v="DOS"/>
    <n v="1214725"/>
  </r>
  <r>
    <x v="2"/>
    <x v="2"/>
    <x v="2"/>
    <x v="2"/>
    <x v="0"/>
    <s v="TRES"/>
    <n v="1029234"/>
  </r>
  <r>
    <x v="1"/>
    <x v="2"/>
    <x v="2"/>
    <x v="0"/>
    <x v="2"/>
    <s v="DOS"/>
    <n v="1318986"/>
  </r>
  <r>
    <x v="1"/>
    <x v="0"/>
    <x v="1"/>
    <x v="1"/>
    <x v="2"/>
    <s v="UNO"/>
    <n v="979099"/>
  </r>
  <r>
    <x v="1"/>
    <x v="0"/>
    <x v="2"/>
    <x v="2"/>
    <x v="2"/>
    <s v="DOS"/>
    <n v="945087"/>
  </r>
  <r>
    <x v="2"/>
    <x v="1"/>
    <x v="0"/>
    <x v="0"/>
    <x v="2"/>
    <s v="UNO"/>
    <n v="912747"/>
  </r>
  <r>
    <x v="0"/>
    <x v="0"/>
    <x v="0"/>
    <x v="0"/>
    <x v="2"/>
    <s v="TRES"/>
    <n v="1303574"/>
  </r>
  <r>
    <x v="0"/>
    <x v="0"/>
    <x v="1"/>
    <x v="1"/>
    <x v="1"/>
    <s v="UNO"/>
    <n v="614036"/>
  </r>
  <r>
    <x v="2"/>
    <x v="0"/>
    <x v="2"/>
    <x v="2"/>
    <x v="2"/>
    <s v="TRES"/>
    <n v="666688"/>
  </r>
  <r>
    <x v="1"/>
    <x v="2"/>
    <x v="0"/>
    <x v="0"/>
    <x v="0"/>
    <s v="UNO"/>
    <n v="763702"/>
  </r>
  <r>
    <x v="2"/>
    <x v="0"/>
    <x v="2"/>
    <x v="2"/>
    <x v="0"/>
    <s v="UNO"/>
    <n v="535257"/>
  </r>
  <r>
    <x v="2"/>
    <x v="0"/>
    <x v="2"/>
    <x v="2"/>
    <x v="0"/>
    <s v="UNO"/>
    <n v="970345"/>
  </r>
  <r>
    <x v="2"/>
    <x v="2"/>
    <x v="1"/>
    <x v="1"/>
    <x v="2"/>
    <s v="TRES"/>
    <n v="978337"/>
  </r>
  <r>
    <x v="1"/>
    <x v="0"/>
    <x v="0"/>
    <x v="0"/>
    <x v="0"/>
    <s v="UNO"/>
    <n v="14677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29370-1A34-475D-95BC-F23C3394D3F2}" name="TablaDiná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L5:M120" firstHeaderRow="1" firstDataRow="1" firstDataCol="1"/>
  <pivotFields count="7">
    <pivotField axis="axisRow" showAll="0">
      <items count="4"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Row" showAll="0">
      <items count="4">
        <item sd="0" x="0"/>
        <item sd="0" x="2"/>
        <item sd="0"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</pivotFields>
  <rowFields count="5">
    <field x="0"/>
    <field x="1"/>
    <field x="2"/>
    <field x="3"/>
    <field x="4"/>
  </rowFields>
  <rowItems count="115">
    <i>
      <x/>
    </i>
    <i r="1">
      <x/>
    </i>
    <i r="2">
      <x/>
    </i>
    <i r="3">
      <x/>
    </i>
    <i r="3">
      <x v="1"/>
    </i>
    <i r="3">
      <x v="2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1">
      <x v="1"/>
    </i>
    <i r="2">
      <x/>
    </i>
    <i r="3">
      <x/>
    </i>
    <i r="3">
      <x v="1"/>
    </i>
    <i r="3">
      <x v="2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1">
      <x v="2"/>
    </i>
    <i r="2">
      <x/>
    </i>
    <i r="3">
      <x/>
    </i>
    <i r="3">
      <x v="1"/>
    </i>
    <i r="3">
      <x v="2"/>
    </i>
    <i r="2">
      <x v="1"/>
    </i>
    <i r="3">
      <x/>
    </i>
    <i r="3">
      <x v="1"/>
    </i>
    <i r="2">
      <x v="2"/>
    </i>
    <i r="3">
      <x/>
    </i>
    <i r="3">
      <x v="1"/>
    </i>
    <i r="3">
      <x v="2"/>
    </i>
    <i>
      <x v="1"/>
    </i>
    <i r="1">
      <x/>
    </i>
    <i r="2">
      <x/>
    </i>
    <i r="3">
      <x/>
    </i>
    <i r="3">
      <x v="1"/>
    </i>
    <i r="3">
      <x v="2"/>
    </i>
    <i r="2">
      <x v="1"/>
    </i>
    <i r="3">
      <x/>
    </i>
    <i r="3">
      <x v="2"/>
    </i>
    <i r="2">
      <x v="2"/>
    </i>
    <i r="3">
      <x/>
    </i>
    <i r="3">
      <x v="1"/>
    </i>
    <i r="3">
      <x v="2"/>
    </i>
    <i r="1">
      <x v="1"/>
    </i>
    <i r="2">
      <x/>
    </i>
    <i r="3">
      <x/>
    </i>
    <i r="3">
      <x v="1"/>
    </i>
    <i r="3">
      <x v="2"/>
    </i>
    <i r="2">
      <x v="1"/>
    </i>
    <i r="3">
      <x/>
    </i>
    <i r="3">
      <x v="1"/>
    </i>
    <i r="2">
      <x v="2"/>
    </i>
    <i r="3">
      <x v="2"/>
    </i>
    <i r="1">
      <x v="2"/>
    </i>
    <i r="2">
      <x/>
    </i>
    <i r="3">
      <x/>
    </i>
    <i r="3">
      <x v="1"/>
    </i>
    <i r="3">
      <x v="2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>
      <x v="2"/>
    </i>
    <i r="1">
      <x/>
    </i>
    <i r="2">
      <x/>
    </i>
    <i r="3">
      <x/>
    </i>
    <i r="3">
      <x v="1"/>
    </i>
    <i r="3">
      <x v="2"/>
    </i>
    <i r="2">
      <x v="1"/>
    </i>
    <i r="3">
      <x/>
    </i>
    <i r="3">
      <x v="2"/>
    </i>
    <i r="2">
      <x v="2"/>
    </i>
    <i r="3">
      <x/>
    </i>
    <i r="3">
      <x v="1"/>
    </i>
    <i r="3">
      <x v="2"/>
    </i>
    <i r="1">
      <x v="1"/>
    </i>
    <i r="2">
      <x/>
    </i>
    <i r="3">
      <x/>
    </i>
    <i r="3">
      <x v="1"/>
    </i>
    <i r="3">
      <x v="2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1">
      <x v="2"/>
    </i>
    <i r="2">
      <x/>
    </i>
    <i r="3">
      <x/>
    </i>
    <i r="3">
      <x v="1"/>
    </i>
    <i r="3">
      <x v="2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t="grand">
      <x/>
    </i>
  </rowItems>
  <colItems count="1">
    <i/>
  </colItems>
  <dataFields count="1">
    <dataField name="Máx. de SALARIO" fld="6" subtotal="max" baseField="3" baseItem="2" numFmtId="169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M23">
  <tableColumns count="13">
    <tableColumn id="1" xr3:uid="{00000000-0010-0000-0000-000001000000}" name="Código"/>
    <tableColumn id="2" xr3:uid="{00000000-0010-0000-0000-000002000000}" name="Apellidos y Nombres"/>
    <tableColumn id="3" xr3:uid="{00000000-0010-0000-0000-000003000000}" name="Columna1"/>
    <tableColumn id="4" xr3:uid="{00000000-0010-0000-0000-000004000000}" name="distrito"/>
    <tableColumn id="5" xr3:uid="{00000000-0010-0000-0000-000005000000}" name="Sexo"/>
    <tableColumn id="6" xr3:uid="{00000000-0010-0000-0000-000006000000}" name="Edad"/>
    <tableColumn id="7" xr3:uid="{00000000-0010-0000-0000-000007000000}" name="Estado Civil"/>
    <tableColumn id="8" xr3:uid="{00000000-0010-0000-0000-000008000000}" name="Sueldo Basico"/>
    <tableColumn id="9" xr3:uid="{00000000-0010-0000-0000-000009000000}" name="Categoria"/>
    <tableColumn id="10" xr3:uid="{00000000-0010-0000-0000-00000A000000}" name="Poder adquisitivo"/>
    <tableColumn id="11" xr3:uid="{00000000-0010-0000-0000-00000B000000}" name="Dscto."/>
    <tableColumn id="12" xr3:uid="{00000000-0010-0000-0000-00000C000000}" name="Bonific."/>
    <tableColumn id="13" xr3:uid="{00000000-0010-0000-0000-00000D000000}" name="Neto a Pagar"/>
  </tableColumns>
  <tableStyleInfo name="1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C2EB-F4B5-44C0-8618-06B2BB434EC4}">
  <sheetPr codeName="Hoja2">
    <tabColor theme="0"/>
  </sheetPr>
  <dimension ref="A1:I18"/>
  <sheetViews>
    <sheetView zoomScale="112" zoomScaleNormal="112" workbookViewId="0">
      <selection activeCell="J6" sqref="J6"/>
    </sheetView>
  </sheetViews>
  <sheetFormatPr baseColWidth="10" defaultColWidth="11.44140625" defaultRowHeight="14.4" x14ac:dyDescent="0.3"/>
  <cols>
    <col min="1" max="1" width="14.33203125" style="23" customWidth="1"/>
    <col min="2" max="2" width="13.109375" style="23" customWidth="1"/>
    <col min="3" max="3" width="11.88671875" style="23" bestFit="1" customWidth="1"/>
    <col min="4" max="4" width="13" style="23" bestFit="1" customWidth="1"/>
    <col min="5" max="7" width="11.44140625" style="23"/>
    <col min="8" max="8" width="15" style="23" customWidth="1"/>
    <col min="9" max="16384" width="11.44140625" style="23"/>
  </cols>
  <sheetData>
    <row r="1" spans="1:9" ht="28.5" customHeight="1" x14ac:dyDescent="0.3">
      <c r="A1" s="42"/>
    </row>
    <row r="3" spans="1:9" x14ac:dyDescent="0.3">
      <c r="A3" s="23" t="s">
        <v>342</v>
      </c>
      <c r="B3" s="23" t="s">
        <v>343</v>
      </c>
      <c r="C3" s="23" t="s">
        <v>344</v>
      </c>
      <c r="D3" s="43" t="s">
        <v>345</v>
      </c>
      <c r="E3" s="44" t="s">
        <v>346</v>
      </c>
      <c r="F3" s="23" t="s">
        <v>347</v>
      </c>
      <c r="G3" s="23" t="s">
        <v>348</v>
      </c>
      <c r="H3" s="23" t="s">
        <v>349</v>
      </c>
      <c r="I3" s="23" t="s">
        <v>350</v>
      </c>
    </row>
    <row r="4" spans="1:9" x14ac:dyDescent="0.3">
      <c r="A4" s="23">
        <v>3</v>
      </c>
      <c r="B4" s="23" t="s">
        <v>351</v>
      </c>
      <c r="C4" s="45">
        <v>8995</v>
      </c>
      <c r="D4" s="45">
        <f>A4*C4</f>
        <v>26985</v>
      </c>
      <c r="E4" s="46">
        <f>IF(D4&gt;20000,D4*10%,0)</f>
        <v>2698.5</v>
      </c>
      <c r="F4" s="47">
        <v>0.02</v>
      </c>
      <c r="G4" s="47">
        <v>0.04</v>
      </c>
      <c r="H4" s="56">
        <f>D4-(E4+F4-G4)</f>
        <v>24286.52</v>
      </c>
      <c r="I4" s="55">
        <f>H4/3.36</f>
        <v>7228.1309523809532</v>
      </c>
    </row>
    <row r="5" spans="1:9" x14ac:dyDescent="0.3">
      <c r="A5" s="23">
        <v>4</v>
      </c>
      <c r="B5" s="23" t="s">
        <v>352</v>
      </c>
      <c r="C5" s="23">
        <v>3995</v>
      </c>
      <c r="D5" s="45">
        <f t="shared" ref="D5:D8" si="0">A5*C5</f>
        <v>15980</v>
      </c>
      <c r="E5" s="46">
        <f t="shared" ref="E5:E8" si="1">IF(D5&gt;20000,D5*10%,0)</f>
        <v>0</v>
      </c>
      <c r="F5" s="47">
        <v>0.05</v>
      </c>
      <c r="G5" s="47">
        <v>0.03</v>
      </c>
      <c r="H5" s="56">
        <f t="shared" ref="H5:H8" si="2">D5-(E5+F5-G5)</f>
        <v>15979.98</v>
      </c>
      <c r="I5" s="55">
        <f t="shared" ref="I5:I8" si="3">H5/3.36</f>
        <v>4755.9464285714284</v>
      </c>
    </row>
    <row r="6" spans="1:9" x14ac:dyDescent="0.3">
      <c r="A6" s="23">
        <v>6</v>
      </c>
      <c r="B6" s="23" t="s">
        <v>353</v>
      </c>
      <c r="C6" s="23">
        <v>4495</v>
      </c>
      <c r="D6" s="45">
        <f t="shared" si="0"/>
        <v>26970</v>
      </c>
      <c r="E6" s="46">
        <f t="shared" si="1"/>
        <v>2697</v>
      </c>
      <c r="F6" s="47">
        <v>0.03</v>
      </c>
      <c r="G6" s="47">
        <v>0.02</v>
      </c>
      <c r="H6" s="56">
        <f t="shared" si="2"/>
        <v>24272.989999999998</v>
      </c>
      <c r="I6" s="55">
        <f t="shared" si="3"/>
        <v>7224.1041666666661</v>
      </c>
    </row>
    <row r="7" spans="1:9" x14ac:dyDescent="0.3">
      <c r="A7" s="23">
        <v>2</v>
      </c>
      <c r="B7" s="23" t="s">
        <v>354</v>
      </c>
      <c r="C7" s="23">
        <v>7995</v>
      </c>
      <c r="D7" s="45">
        <f t="shared" si="0"/>
        <v>15990</v>
      </c>
      <c r="E7" s="46">
        <f t="shared" si="1"/>
        <v>0</v>
      </c>
      <c r="F7" s="47">
        <v>0.02</v>
      </c>
      <c r="G7" s="47">
        <v>7.0000000000000007E-2</v>
      </c>
      <c r="H7" s="56">
        <f t="shared" si="2"/>
        <v>15990.05</v>
      </c>
      <c r="I7" s="55">
        <f t="shared" si="3"/>
        <v>4758.9434523809523</v>
      </c>
    </row>
    <row r="8" spans="1:9" x14ac:dyDescent="0.3">
      <c r="A8" s="23">
        <v>1</v>
      </c>
      <c r="B8" s="23" t="s">
        <v>355</v>
      </c>
      <c r="C8" s="23">
        <v>12995</v>
      </c>
      <c r="D8" s="45">
        <f t="shared" si="0"/>
        <v>12995</v>
      </c>
      <c r="E8" s="46">
        <f t="shared" si="1"/>
        <v>0</v>
      </c>
      <c r="F8" s="47">
        <v>0.06</v>
      </c>
      <c r="G8" s="47">
        <v>0.05</v>
      </c>
      <c r="H8" s="56">
        <f t="shared" si="2"/>
        <v>12994.99</v>
      </c>
      <c r="I8" s="55">
        <f t="shared" si="3"/>
        <v>3867.5565476190477</v>
      </c>
    </row>
    <row r="9" spans="1:9" ht="15" thickBot="1" x14ac:dyDescent="0.35"/>
    <row r="10" spans="1:9" ht="43.8" thickBot="1" x14ac:dyDescent="0.35">
      <c r="A10" s="48" t="s">
        <v>356</v>
      </c>
      <c r="B10" s="49">
        <v>3.36</v>
      </c>
    </row>
    <row r="12" spans="1:9" x14ac:dyDescent="0.3">
      <c r="A12" s="50" t="s">
        <v>357</v>
      </c>
      <c r="B12" s="51"/>
    </row>
    <row r="14" spans="1:9" x14ac:dyDescent="0.3">
      <c r="A14" s="23" t="s">
        <v>358</v>
      </c>
    </row>
    <row r="15" spans="1:9" x14ac:dyDescent="0.3">
      <c r="A15" s="23" t="s">
        <v>359</v>
      </c>
    </row>
    <row r="16" spans="1:9" x14ac:dyDescent="0.3">
      <c r="A16" s="23" t="s">
        <v>360</v>
      </c>
    </row>
    <row r="17" spans="1:2" x14ac:dyDescent="0.3">
      <c r="A17" s="23" t="s">
        <v>361</v>
      </c>
      <c r="B17" s="23" t="s">
        <v>362</v>
      </c>
    </row>
    <row r="18" spans="1:2" x14ac:dyDescent="0.3">
      <c r="A18" s="23" t="s">
        <v>363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C0A8-6E6A-4F48-8728-73A2C7C73AA7}">
  <sheetPr codeName="Hoja4"/>
  <dimension ref="A1:F16"/>
  <sheetViews>
    <sheetView zoomScale="124" zoomScaleNormal="124" workbookViewId="0">
      <selection activeCell="B11" sqref="B11"/>
    </sheetView>
  </sheetViews>
  <sheetFormatPr baseColWidth="10" defaultColWidth="11.44140625" defaultRowHeight="14.4" x14ac:dyDescent="0.3"/>
  <cols>
    <col min="1" max="1" width="28.109375" style="23" customWidth="1"/>
    <col min="2" max="2" width="12.109375" style="23" customWidth="1"/>
    <col min="3" max="3" width="11" style="23" customWidth="1"/>
    <col min="4" max="4" width="14" style="23" customWidth="1"/>
    <col min="5" max="5" width="13.44140625" style="23" customWidth="1"/>
    <col min="6" max="6" width="20.6640625" style="23" customWidth="1"/>
    <col min="7" max="16384" width="11.44140625" style="23"/>
  </cols>
  <sheetData>
    <row r="1" spans="1:6" ht="28.8" x14ac:dyDescent="0.3">
      <c r="A1" s="21" t="s">
        <v>298</v>
      </c>
      <c r="B1" s="21" t="s">
        <v>299</v>
      </c>
      <c r="C1" s="21" t="s">
        <v>300</v>
      </c>
      <c r="D1" s="21" t="s">
        <v>301</v>
      </c>
      <c r="E1" s="21" t="s">
        <v>302</v>
      </c>
      <c r="F1" s="22" t="s">
        <v>303</v>
      </c>
    </row>
    <row r="2" spans="1:6" x14ac:dyDescent="0.3">
      <c r="A2" s="24" t="s">
        <v>304</v>
      </c>
      <c r="B2" s="25" t="s">
        <v>305</v>
      </c>
      <c r="C2" s="37">
        <v>15</v>
      </c>
      <c r="D2" s="37">
        <v>15</v>
      </c>
      <c r="E2" s="37">
        <v>13</v>
      </c>
      <c r="F2" s="26" t="str">
        <f>IF(AVERAGE(C2:E2)&gt;=$E$11,"Aprobado","Reprobado")</f>
        <v>Aprobado</v>
      </c>
    </row>
    <row r="3" spans="1:6" x14ac:dyDescent="0.3">
      <c r="A3" s="27" t="s">
        <v>306</v>
      </c>
      <c r="B3" s="28" t="s">
        <v>307</v>
      </c>
      <c r="C3" s="38">
        <v>14</v>
      </c>
      <c r="D3" s="38">
        <v>16</v>
      </c>
      <c r="E3" s="38">
        <v>10</v>
      </c>
      <c r="F3" s="26" t="str">
        <f>IF(AVERAGE(C3:E3)&gt;=$E$11,"Aprobado","Reprobado")</f>
        <v>Aprobado</v>
      </c>
    </row>
    <row r="4" spans="1:6" x14ac:dyDescent="0.3">
      <c r="A4" s="27" t="s">
        <v>308</v>
      </c>
      <c r="B4" s="28" t="s">
        <v>305</v>
      </c>
      <c r="C4" s="38">
        <v>16</v>
      </c>
      <c r="D4" s="38">
        <v>12</v>
      </c>
      <c r="E4" s="38">
        <v>12</v>
      </c>
      <c r="F4" s="26" t="str">
        <f>IF(AVERAGE(C4:E4)&gt;=$E$11,"Aprobado","Reprobado")</f>
        <v>Aprobado</v>
      </c>
    </row>
    <row r="5" spans="1:6" x14ac:dyDescent="0.3">
      <c r="A5" s="27" t="s">
        <v>309</v>
      </c>
      <c r="B5" s="28" t="s">
        <v>310</v>
      </c>
      <c r="C5" s="38">
        <v>17</v>
      </c>
      <c r="D5" s="38">
        <v>10</v>
      </c>
      <c r="E5" s="38">
        <v>12</v>
      </c>
      <c r="F5" s="26" t="str">
        <f>IF(AVERAGE(C5:E5)&gt;=$E$11,"Aprobado","Reprobado")</f>
        <v>Aprobado</v>
      </c>
    </row>
    <row r="6" spans="1:6" x14ac:dyDescent="0.3">
      <c r="A6" s="27" t="s">
        <v>311</v>
      </c>
      <c r="B6" s="28" t="s">
        <v>307</v>
      </c>
      <c r="C6" s="38">
        <v>15</v>
      </c>
      <c r="D6" s="38">
        <v>13</v>
      </c>
      <c r="E6" s="38">
        <v>13</v>
      </c>
      <c r="F6" s="26" t="str">
        <f>IF(AVERAGE(C6:E6)&gt;=$E$11,"Aprobado","Reprobado")</f>
        <v>Aprobado</v>
      </c>
    </row>
    <row r="7" spans="1:6" x14ac:dyDescent="0.3">
      <c r="A7" s="27" t="s">
        <v>312</v>
      </c>
      <c r="B7" s="28" t="s">
        <v>310</v>
      </c>
      <c r="C7" s="38">
        <v>12</v>
      </c>
      <c r="D7" s="38">
        <v>12</v>
      </c>
      <c r="E7" s="38">
        <v>17</v>
      </c>
      <c r="F7" s="26" t="str">
        <f>IF(AVERAGE(C7:E7)&gt;=$E$11,"Aprobado","Reprobado")</f>
        <v>Aprobado</v>
      </c>
    </row>
    <row r="8" spans="1:6" ht="15" thickBot="1" x14ac:dyDescent="0.35">
      <c r="A8" s="29" t="s">
        <v>313</v>
      </c>
      <c r="B8" s="30" t="s">
        <v>305</v>
      </c>
      <c r="C8" s="39">
        <v>10</v>
      </c>
      <c r="D8" s="39">
        <v>18</v>
      </c>
      <c r="E8" s="39">
        <v>16</v>
      </c>
      <c r="F8" s="26" t="str">
        <f>IF(AVERAGE(C8:E8)&gt;=$E$11,"Aprobado","Reprobado")</f>
        <v>Aprobado</v>
      </c>
    </row>
    <row r="10" spans="1:6" ht="15" thickBot="1" x14ac:dyDescent="0.35"/>
    <row r="11" spans="1:6" ht="15" thickBot="1" x14ac:dyDescent="0.35">
      <c r="A11" s="31" t="s">
        <v>314</v>
      </c>
      <c r="B11" s="28">
        <f>COUNT(A2:A8)</f>
        <v>0</v>
      </c>
      <c r="D11" s="32" t="s">
        <v>315</v>
      </c>
      <c r="E11" s="33">
        <v>13</v>
      </c>
    </row>
    <row r="12" spans="1:6" x14ac:dyDescent="0.3">
      <c r="A12" s="28" t="s">
        <v>305</v>
      </c>
      <c r="B12" s="28">
        <f>COUNTIF(B2:B8,"Word")</f>
        <v>3</v>
      </c>
    </row>
    <row r="13" spans="1:6" x14ac:dyDescent="0.3">
      <c r="A13" s="28" t="s">
        <v>307</v>
      </c>
      <c r="B13" s="28">
        <f>COUNTIF(B2:B8,"Excel")</f>
        <v>2</v>
      </c>
    </row>
    <row r="14" spans="1:6" x14ac:dyDescent="0.3">
      <c r="A14" s="28" t="s">
        <v>310</v>
      </c>
      <c r="B14" s="28">
        <f>COUNTIF(B2:B8,"Access")</f>
        <v>2</v>
      </c>
    </row>
    <row r="16" spans="1:6" x14ac:dyDescent="0.3">
      <c r="A16" s="23" t="s">
        <v>297</v>
      </c>
      <c r="B16" s="40">
        <f>COUNTA(A2:A8)</f>
        <v>7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8CD4-A818-4CFC-8D88-6A3A242688CB}">
  <sheetPr codeName="Hoja3" filterMode="1"/>
  <dimension ref="A1:H123"/>
  <sheetViews>
    <sheetView tabSelected="1" zoomScale="115" zoomScaleNormal="115" workbookViewId="0">
      <selection activeCell="H6" sqref="H6"/>
    </sheetView>
  </sheetViews>
  <sheetFormatPr baseColWidth="10" defaultColWidth="9.109375" defaultRowHeight="12.6" x14ac:dyDescent="0.25"/>
  <cols>
    <col min="1" max="1" width="9.109375" style="3"/>
    <col min="2" max="2" width="13.44140625" style="3" customWidth="1"/>
    <col min="3" max="3" width="15.5546875" style="3" customWidth="1"/>
    <col min="4" max="6" width="9.109375" style="3"/>
    <col min="7" max="7" width="17.21875" style="3" customWidth="1"/>
    <col min="8" max="8" width="16.44140625" style="3" customWidth="1"/>
    <col min="9" max="16384" width="9.109375" style="3"/>
  </cols>
  <sheetData>
    <row r="1" spans="1:8" ht="20.399999999999999" x14ac:dyDescent="0.25">
      <c r="A1" s="41"/>
    </row>
    <row r="2" spans="1:8" ht="18" x14ac:dyDescent="0.35">
      <c r="A2" s="2" t="s">
        <v>49</v>
      </c>
    </row>
    <row r="3" spans="1:8" x14ac:dyDescent="0.25">
      <c r="A3" s="4"/>
    </row>
    <row r="4" spans="1:8" ht="14.4" x14ac:dyDescent="0.3">
      <c r="A4" s="4" t="s">
        <v>50</v>
      </c>
      <c r="B4" s="3" t="s">
        <v>341</v>
      </c>
    </row>
    <row r="6" spans="1:8" x14ac:dyDescent="0.25">
      <c r="B6" s="20" t="s">
        <v>54</v>
      </c>
      <c r="C6" s="20" t="s">
        <v>53</v>
      </c>
    </row>
    <row r="7" spans="1:8" x14ac:dyDescent="0.25">
      <c r="B7" s="19" t="s">
        <v>66</v>
      </c>
      <c r="C7" s="19" t="s">
        <v>134</v>
      </c>
      <c r="F7" s="3" t="s">
        <v>297</v>
      </c>
      <c r="G7" s="70">
        <f>SUBTOTAL(9,G10:G123)</f>
        <v>105630.34999999999</v>
      </c>
    </row>
    <row r="9" spans="1:8" x14ac:dyDescent="0.25">
      <c r="A9" s="5" t="s">
        <v>51</v>
      </c>
      <c r="B9" s="6" t="s">
        <v>52</v>
      </c>
      <c r="C9" s="6" t="s">
        <v>48</v>
      </c>
      <c r="D9" s="6" t="s">
        <v>53</v>
      </c>
      <c r="E9" s="6" t="s">
        <v>54</v>
      </c>
      <c r="F9" s="6" t="s">
        <v>55</v>
      </c>
      <c r="G9" s="7" t="s">
        <v>56</v>
      </c>
      <c r="H9" s="8" t="s">
        <v>57</v>
      </c>
    </row>
    <row r="10" spans="1:8" hidden="1" x14ac:dyDescent="0.25">
      <c r="A10" s="9">
        <v>1153</v>
      </c>
      <c r="B10" s="10" t="s">
        <v>104</v>
      </c>
      <c r="C10" s="10" t="s">
        <v>105</v>
      </c>
      <c r="D10" s="10" t="s">
        <v>70</v>
      </c>
      <c r="E10" s="10" t="s">
        <v>61</v>
      </c>
      <c r="F10" s="13" t="s">
        <v>67</v>
      </c>
      <c r="G10" s="11">
        <v>28043.68</v>
      </c>
      <c r="H10" s="12">
        <v>32886</v>
      </c>
    </row>
    <row r="11" spans="1:8" hidden="1" x14ac:dyDescent="0.25">
      <c r="A11" s="9">
        <v>1675</v>
      </c>
      <c r="B11" s="10" t="s">
        <v>221</v>
      </c>
      <c r="C11" s="10" t="s">
        <v>222</v>
      </c>
      <c r="D11" s="10" t="s">
        <v>70</v>
      </c>
      <c r="E11" s="10" t="s">
        <v>61</v>
      </c>
      <c r="F11" s="10" t="s">
        <v>86</v>
      </c>
      <c r="G11" s="11">
        <v>29045.24</v>
      </c>
      <c r="H11" s="12">
        <v>33680</v>
      </c>
    </row>
    <row r="12" spans="1:8" hidden="1" x14ac:dyDescent="0.25">
      <c r="A12" s="9">
        <v>1960</v>
      </c>
      <c r="B12" s="10" t="s">
        <v>269</v>
      </c>
      <c r="C12" s="10" t="s">
        <v>270</v>
      </c>
      <c r="D12" s="10" t="s">
        <v>70</v>
      </c>
      <c r="E12" s="10" t="s">
        <v>61</v>
      </c>
      <c r="F12" s="10" t="s">
        <v>62</v>
      </c>
      <c r="G12" s="11">
        <v>28043.68</v>
      </c>
      <c r="H12" s="12">
        <v>31729</v>
      </c>
    </row>
    <row r="13" spans="1:8" hidden="1" x14ac:dyDescent="0.25">
      <c r="A13" s="9">
        <v>1041</v>
      </c>
      <c r="B13" s="10" t="s">
        <v>68</v>
      </c>
      <c r="C13" s="10" t="s">
        <v>69</v>
      </c>
      <c r="D13" s="10" t="s">
        <v>70</v>
      </c>
      <c r="E13" s="10" t="s">
        <v>71</v>
      </c>
      <c r="F13" s="13" t="s">
        <v>67</v>
      </c>
      <c r="G13" s="11">
        <v>28043.68</v>
      </c>
      <c r="H13" s="12">
        <v>33710</v>
      </c>
    </row>
    <row r="14" spans="1:8" hidden="1" x14ac:dyDescent="0.25">
      <c r="A14" s="9">
        <v>1334</v>
      </c>
      <c r="B14" s="10" t="s">
        <v>158</v>
      </c>
      <c r="C14" s="10" t="s">
        <v>159</v>
      </c>
      <c r="D14" s="10" t="s">
        <v>70</v>
      </c>
      <c r="E14" s="10" t="s">
        <v>71</v>
      </c>
      <c r="F14" s="10" t="s">
        <v>86</v>
      </c>
      <c r="G14" s="11">
        <v>28043.68</v>
      </c>
      <c r="H14" s="12">
        <v>32971</v>
      </c>
    </row>
    <row r="15" spans="1:8" hidden="1" x14ac:dyDescent="0.25">
      <c r="A15" s="9">
        <v>1674</v>
      </c>
      <c r="B15" s="10" t="s">
        <v>216</v>
      </c>
      <c r="C15" s="10" t="s">
        <v>217</v>
      </c>
      <c r="D15" s="10" t="s">
        <v>70</v>
      </c>
      <c r="E15" s="10" t="s">
        <v>71</v>
      </c>
      <c r="F15" s="10" t="s">
        <v>62</v>
      </c>
      <c r="G15" s="11">
        <v>31048.36</v>
      </c>
      <c r="H15" s="12">
        <v>32971</v>
      </c>
    </row>
    <row r="16" spans="1:8" hidden="1" x14ac:dyDescent="0.25">
      <c r="A16" s="9">
        <v>1168</v>
      </c>
      <c r="B16" s="10" t="s">
        <v>112</v>
      </c>
      <c r="C16" s="10" t="s">
        <v>113</v>
      </c>
      <c r="D16" s="10" t="s">
        <v>70</v>
      </c>
      <c r="E16" s="10" t="s">
        <v>66</v>
      </c>
      <c r="F16" s="13" t="s">
        <v>86</v>
      </c>
      <c r="G16" s="11">
        <v>23035.88</v>
      </c>
      <c r="H16" s="12">
        <v>33338</v>
      </c>
    </row>
    <row r="17" spans="1:8" hidden="1" x14ac:dyDescent="0.25">
      <c r="A17" s="9">
        <v>1360</v>
      </c>
      <c r="B17" s="10" t="s">
        <v>168</v>
      </c>
      <c r="C17" s="10" t="s">
        <v>169</v>
      </c>
      <c r="D17" s="10" t="s">
        <v>70</v>
      </c>
      <c r="E17" s="10" t="s">
        <v>66</v>
      </c>
      <c r="F17" s="10" t="s">
        <v>62</v>
      </c>
      <c r="G17" s="11">
        <v>33051.480000000003</v>
      </c>
      <c r="H17" s="12">
        <v>32356</v>
      </c>
    </row>
    <row r="18" spans="1:8" hidden="1" x14ac:dyDescent="0.25">
      <c r="A18" s="9">
        <v>1976</v>
      </c>
      <c r="B18" s="10" t="s">
        <v>288</v>
      </c>
      <c r="C18" s="10" t="s">
        <v>289</v>
      </c>
      <c r="D18" s="10" t="s">
        <v>70</v>
      </c>
      <c r="E18" s="10" t="s">
        <v>66</v>
      </c>
      <c r="F18" s="13" t="s">
        <v>67</v>
      </c>
      <c r="G18" s="11">
        <v>23035.88</v>
      </c>
      <c r="H18" s="12">
        <v>33357</v>
      </c>
    </row>
    <row r="19" spans="1:8" hidden="1" x14ac:dyDescent="0.25">
      <c r="A19" s="9">
        <v>1055</v>
      </c>
      <c r="B19" s="10" t="s">
        <v>76</v>
      </c>
      <c r="C19" s="10" t="s">
        <v>77</v>
      </c>
      <c r="D19" s="10" t="s">
        <v>70</v>
      </c>
      <c r="E19" s="10" t="s">
        <v>78</v>
      </c>
      <c r="F19" s="10" t="s">
        <v>62</v>
      </c>
      <c r="G19" s="11">
        <v>26040.560000000001</v>
      </c>
      <c r="H19" s="12">
        <v>33336</v>
      </c>
    </row>
    <row r="20" spans="1:8" hidden="1" x14ac:dyDescent="0.25">
      <c r="A20" s="9">
        <v>1724</v>
      </c>
      <c r="B20" s="10" t="s">
        <v>232</v>
      </c>
      <c r="C20" s="10" t="s">
        <v>233</v>
      </c>
      <c r="D20" s="10" t="s">
        <v>70</v>
      </c>
      <c r="E20" s="10" t="s">
        <v>78</v>
      </c>
      <c r="F20" s="13" t="s">
        <v>67</v>
      </c>
      <c r="G20" s="11">
        <v>28043.68</v>
      </c>
      <c r="H20" s="12">
        <v>33083</v>
      </c>
    </row>
    <row r="21" spans="1:8" hidden="1" x14ac:dyDescent="0.25">
      <c r="A21" s="9">
        <v>1907</v>
      </c>
      <c r="B21" s="10" t="s">
        <v>256</v>
      </c>
      <c r="C21" s="10" t="s">
        <v>257</v>
      </c>
      <c r="D21" s="10" t="s">
        <v>70</v>
      </c>
      <c r="E21" s="10" t="s">
        <v>78</v>
      </c>
      <c r="F21" s="13" t="s">
        <v>67</v>
      </c>
      <c r="G21" s="11">
        <v>33051.480000000003</v>
      </c>
      <c r="H21" s="12">
        <v>32771</v>
      </c>
    </row>
    <row r="22" spans="1:8" hidden="1" x14ac:dyDescent="0.25">
      <c r="A22" s="9">
        <v>1079</v>
      </c>
      <c r="B22" s="10" t="s">
        <v>97</v>
      </c>
      <c r="C22" s="10" t="s">
        <v>98</v>
      </c>
      <c r="D22" s="10" t="s">
        <v>96</v>
      </c>
      <c r="E22" s="10" t="s">
        <v>82</v>
      </c>
      <c r="F22" s="13" t="s">
        <v>67</v>
      </c>
      <c r="G22" s="11">
        <v>29982.58</v>
      </c>
      <c r="H22" s="12">
        <v>31495</v>
      </c>
    </row>
    <row r="23" spans="1:8" hidden="1" x14ac:dyDescent="0.25">
      <c r="A23" s="9">
        <v>1290</v>
      </c>
      <c r="B23" s="10" t="s">
        <v>122</v>
      </c>
      <c r="C23" s="10" t="s">
        <v>123</v>
      </c>
      <c r="D23" s="10" t="s">
        <v>96</v>
      </c>
      <c r="E23" s="10" t="s">
        <v>82</v>
      </c>
      <c r="F23" s="10" t="s">
        <v>86</v>
      </c>
      <c r="G23" s="11">
        <v>26113.86</v>
      </c>
      <c r="H23" s="12">
        <v>31050</v>
      </c>
    </row>
    <row r="24" spans="1:8" hidden="1" x14ac:dyDescent="0.25">
      <c r="A24" s="9">
        <v>1291</v>
      </c>
      <c r="B24" s="10" t="s">
        <v>124</v>
      </c>
      <c r="C24" s="10" t="s">
        <v>125</v>
      </c>
      <c r="D24" s="10" t="s">
        <v>96</v>
      </c>
      <c r="E24" s="10" t="s">
        <v>82</v>
      </c>
      <c r="F24" s="13" t="s">
        <v>67</v>
      </c>
      <c r="G24" s="11">
        <v>35785.660000000003</v>
      </c>
      <c r="H24" s="12">
        <v>31042</v>
      </c>
    </row>
    <row r="25" spans="1:8" hidden="1" x14ac:dyDescent="0.25">
      <c r="A25" s="9">
        <v>1368</v>
      </c>
      <c r="B25" s="10" t="s">
        <v>172</v>
      </c>
      <c r="C25" s="10" t="s">
        <v>173</v>
      </c>
      <c r="D25" s="10" t="s">
        <v>96</v>
      </c>
      <c r="E25" s="10" t="s">
        <v>82</v>
      </c>
      <c r="F25" s="13" t="s">
        <v>86</v>
      </c>
      <c r="G25" s="11">
        <v>32884.120000000003</v>
      </c>
      <c r="H25" s="12">
        <v>30386</v>
      </c>
    </row>
    <row r="26" spans="1:8" hidden="1" x14ac:dyDescent="0.25">
      <c r="A26" s="9">
        <v>1530</v>
      </c>
      <c r="B26" s="10" t="s">
        <v>195</v>
      </c>
      <c r="C26" s="10" t="s">
        <v>196</v>
      </c>
      <c r="D26" s="10" t="s">
        <v>96</v>
      </c>
      <c r="E26" s="10" t="s">
        <v>82</v>
      </c>
      <c r="F26" s="10" t="s">
        <v>67</v>
      </c>
      <c r="G26" s="11">
        <v>25146.68</v>
      </c>
      <c r="H26" s="12">
        <v>33258</v>
      </c>
    </row>
    <row r="27" spans="1:8" hidden="1" x14ac:dyDescent="0.25">
      <c r="A27" s="9">
        <v>1557</v>
      </c>
      <c r="B27" s="10" t="s">
        <v>200</v>
      </c>
      <c r="C27" s="10" t="s">
        <v>161</v>
      </c>
      <c r="D27" s="10" t="s">
        <v>96</v>
      </c>
      <c r="E27" s="10" t="s">
        <v>82</v>
      </c>
      <c r="F27" s="10" t="s">
        <v>62</v>
      </c>
      <c r="G27" s="11">
        <v>27081.040000000001</v>
      </c>
      <c r="H27" s="12">
        <v>29908</v>
      </c>
    </row>
    <row r="28" spans="1:8" hidden="1" x14ac:dyDescent="0.25">
      <c r="A28" s="9">
        <v>1676</v>
      </c>
      <c r="B28" s="10" t="s">
        <v>210</v>
      </c>
      <c r="C28" s="10" t="s">
        <v>223</v>
      </c>
      <c r="D28" s="10" t="s">
        <v>96</v>
      </c>
      <c r="E28" s="10" t="s">
        <v>82</v>
      </c>
      <c r="F28" s="10" t="s">
        <v>62</v>
      </c>
      <c r="G28" s="11">
        <v>23212.32</v>
      </c>
      <c r="H28" s="12">
        <v>29877</v>
      </c>
    </row>
    <row r="29" spans="1:8" hidden="1" x14ac:dyDescent="0.25">
      <c r="A29" s="9">
        <v>1793</v>
      </c>
      <c r="B29" s="10" t="s">
        <v>244</v>
      </c>
      <c r="C29" s="10" t="s">
        <v>245</v>
      </c>
      <c r="D29" s="10" t="s">
        <v>96</v>
      </c>
      <c r="E29" s="10" t="s">
        <v>82</v>
      </c>
      <c r="F29" s="13" t="s">
        <v>86</v>
      </c>
      <c r="G29" s="11">
        <v>24179.5</v>
      </c>
      <c r="H29" s="12">
        <v>33223</v>
      </c>
    </row>
    <row r="30" spans="1:8" hidden="1" x14ac:dyDescent="0.25">
      <c r="A30" s="9">
        <v>1961</v>
      </c>
      <c r="B30" s="10" t="s">
        <v>262</v>
      </c>
      <c r="C30" s="10" t="s">
        <v>271</v>
      </c>
      <c r="D30" s="10" t="s">
        <v>96</v>
      </c>
      <c r="E30" s="10" t="s">
        <v>82</v>
      </c>
      <c r="F30" s="10" t="s">
        <v>86</v>
      </c>
      <c r="G30" s="11">
        <v>27081.040000000001</v>
      </c>
      <c r="H30" s="12">
        <v>31721</v>
      </c>
    </row>
    <row r="31" spans="1:8" hidden="1" x14ac:dyDescent="0.25">
      <c r="A31" s="9">
        <v>1967</v>
      </c>
      <c r="B31" s="10" t="s">
        <v>276</v>
      </c>
      <c r="C31" s="10" t="s">
        <v>277</v>
      </c>
      <c r="D31" s="10" t="s">
        <v>96</v>
      </c>
      <c r="E31" s="10" t="s">
        <v>82</v>
      </c>
      <c r="F31" s="10" t="s">
        <v>62</v>
      </c>
      <c r="G31" s="11">
        <v>23212.32</v>
      </c>
      <c r="H31" s="12">
        <v>33551</v>
      </c>
    </row>
    <row r="32" spans="1:8" hidden="1" x14ac:dyDescent="0.25">
      <c r="A32" s="9">
        <v>1509</v>
      </c>
      <c r="B32" s="10" t="s">
        <v>183</v>
      </c>
      <c r="C32" s="10" t="s">
        <v>184</v>
      </c>
      <c r="D32" s="10" t="s">
        <v>96</v>
      </c>
      <c r="E32" s="10" t="s">
        <v>66</v>
      </c>
      <c r="F32" s="13" t="s">
        <v>86</v>
      </c>
      <c r="G32" s="11">
        <v>29982.58</v>
      </c>
      <c r="H32" s="12">
        <v>31217</v>
      </c>
    </row>
    <row r="33" spans="1:8" hidden="1" x14ac:dyDescent="0.25">
      <c r="A33" s="9">
        <v>1529</v>
      </c>
      <c r="B33" s="10" t="s">
        <v>193</v>
      </c>
      <c r="C33" s="10" t="s">
        <v>194</v>
      </c>
      <c r="D33" s="10" t="s">
        <v>96</v>
      </c>
      <c r="E33" s="10" t="s">
        <v>66</v>
      </c>
      <c r="F33" s="13" t="s">
        <v>67</v>
      </c>
      <c r="G33" s="11">
        <v>25146.68</v>
      </c>
      <c r="H33" s="12">
        <v>31805</v>
      </c>
    </row>
    <row r="34" spans="1:8" hidden="1" x14ac:dyDescent="0.25">
      <c r="A34" s="9">
        <v>1673</v>
      </c>
      <c r="B34" s="10" t="s">
        <v>214</v>
      </c>
      <c r="C34" s="10" t="s">
        <v>215</v>
      </c>
      <c r="D34" s="10" t="s">
        <v>96</v>
      </c>
      <c r="E34" s="10" t="s">
        <v>66</v>
      </c>
      <c r="F34" s="10" t="s">
        <v>62</v>
      </c>
      <c r="G34" s="11">
        <v>29982.58</v>
      </c>
      <c r="H34" s="12">
        <v>32979</v>
      </c>
    </row>
    <row r="35" spans="1:8" hidden="1" x14ac:dyDescent="0.25">
      <c r="A35" s="9">
        <v>1078</v>
      </c>
      <c r="B35" s="10" t="s">
        <v>94</v>
      </c>
      <c r="C35" s="10" t="s">
        <v>95</v>
      </c>
      <c r="D35" s="10" t="s">
        <v>96</v>
      </c>
      <c r="E35" s="10" t="s">
        <v>78</v>
      </c>
      <c r="F35" s="13" t="s">
        <v>67</v>
      </c>
      <c r="G35" s="11">
        <v>29982.58</v>
      </c>
      <c r="H35" s="12">
        <v>31503</v>
      </c>
    </row>
    <row r="36" spans="1:8" hidden="1" x14ac:dyDescent="0.25">
      <c r="A36" s="9">
        <v>1301</v>
      </c>
      <c r="B36" s="10" t="s">
        <v>138</v>
      </c>
      <c r="C36" s="10" t="s">
        <v>139</v>
      </c>
      <c r="D36" s="10" t="s">
        <v>96</v>
      </c>
      <c r="E36" s="10" t="s">
        <v>78</v>
      </c>
      <c r="F36" s="13" t="s">
        <v>86</v>
      </c>
      <c r="G36" s="11">
        <v>27081.040000000001</v>
      </c>
      <c r="H36" s="12">
        <v>30900</v>
      </c>
    </row>
    <row r="37" spans="1:8" hidden="1" x14ac:dyDescent="0.25">
      <c r="A37" s="9">
        <v>1656</v>
      </c>
      <c r="B37" s="10" t="s">
        <v>208</v>
      </c>
      <c r="C37" s="10" t="s">
        <v>209</v>
      </c>
      <c r="D37" s="10" t="s">
        <v>96</v>
      </c>
      <c r="E37" s="10" t="s">
        <v>78</v>
      </c>
      <c r="F37" s="10" t="s">
        <v>62</v>
      </c>
      <c r="G37" s="11">
        <v>29015.4</v>
      </c>
      <c r="H37" s="12">
        <v>32125</v>
      </c>
    </row>
    <row r="38" spans="1:8" hidden="1" x14ac:dyDescent="0.25">
      <c r="A38" s="9">
        <v>1906</v>
      </c>
      <c r="B38" s="10" t="s">
        <v>254</v>
      </c>
      <c r="C38" s="10" t="s">
        <v>255</v>
      </c>
      <c r="D38" s="10" t="s">
        <v>96</v>
      </c>
      <c r="E38" s="10" t="s">
        <v>78</v>
      </c>
      <c r="F38" s="13" t="s">
        <v>67</v>
      </c>
      <c r="G38" s="11">
        <v>31916.94</v>
      </c>
      <c r="H38" s="12">
        <v>32779</v>
      </c>
    </row>
    <row r="39" spans="1:8" hidden="1" x14ac:dyDescent="0.25">
      <c r="A39" s="9">
        <v>1054</v>
      </c>
      <c r="B39" s="10" t="s">
        <v>72</v>
      </c>
      <c r="C39" s="10" t="s">
        <v>73</v>
      </c>
      <c r="D39" s="10" t="s">
        <v>74</v>
      </c>
      <c r="E39" s="10" t="s">
        <v>75</v>
      </c>
      <c r="F39" s="10" t="s">
        <v>62</v>
      </c>
      <c r="G39" s="11">
        <v>25176.06</v>
      </c>
      <c r="H39" s="12">
        <v>33344</v>
      </c>
    </row>
    <row r="40" spans="1:8" hidden="1" x14ac:dyDescent="0.25">
      <c r="A40" s="9">
        <v>1075</v>
      </c>
      <c r="B40" s="10" t="s">
        <v>89</v>
      </c>
      <c r="C40" s="10" t="s">
        <v>90</v>
      </c>
      <c r="D40" s="10" t="s">
        <v>74</v>
      </c>
      <c r="E40" s="10" t="s">
        <v>75</v>
      </c>
      <c r="F40" s="10" t="s">
        <v>67</v>
      </c>
      <c r="G40" s="11">
        <v>23239.439999999999</v>
      </c>
      <c r="H40" s="12">
        <v>33823</v>
      </c>
    </row>
    <row r="41" spans="1:8" hidden="1" x14ac:dyDescent="0.25">
      <c r="A41" s="9">
        <v>1966</v>
      </c>
      <c r="B41" s="10" t="s">
        <v>274</v>
      </c>
      <c r="C41" s="10" t="s">
        <v>275</v>
      </c>
      <c r="D41" s="10" t="s">
        <v>74</v>
      </c>
      <c r="E41" s="10" t="s">
        <v>75</v>
      </c>
      <c r="F41" s="13" t="s">
        <v>86</v>
      </c>
      <c r="G41" s="11">
        <v>23239.439999999999</v>
      </c>
      <c r="H41" s="12">
        <v>33559</v>
      </c>
    </row>
    <row r="42" spans="1:8" x14ac:dyDescent="0.25">
      <c r="A42" s="9">
        <v>1299</v>
      </c>
      <c r="B42" s="10" t="s">
        <v>132</v>
      </c>
      <c r="C42" s="10" t="s">
        <v>133</v>
      </c>
      <c r="D42" s="10" t="s">
        <v>134</v>
      </c>
      <c r="E42" s="10" t="s">
        <v>66</v>
      </c>
      <c r="F42" s="10" t="s">
        <v>62</v>
      </c>
      <c r="G42" s="11">
        <v>24854.2</v>
      </c>
      <c r="H42" s="12">
        <v>32863</v>
      </c>
    </row>
    <row r="43" spans="1:8" x14ac:dyDescent="0.25">
      <c r="A43" s="9">
        <v>1352</v>
      </c>
      <c r="B43" s="10" t="s">
        <v>160</v>
      </c>
      <c r="C43" s="10" t="s">
        <v>161</v>
      </c>
      <c r="D43" s="10" t="s">
        <v>134</v>
      </c>
      <c r="E43" s="10" t="s">
        <v>66</v>
      </c>
      <c r="F43" s="13" t="s">
        <v>67</v>
      </c>
      <c r="G43" s="11">
        <v>31067.75</v>
      </c>
      <c r="H43" s="12">
        <v>30212</v>
      </c>
    </row>
    <row r="44" spans="1:8" x14ac:dyDescent="0.25">
      <c r="A44" s="9">
        <v>1814</v>
      </c>
      <c r="B44" s="10" t="s">
        <v>248</v>
      </c>
      <c r="C44" s="10" t="s">
        <v>249</v>
      </c>
      <c r="D44" s="10" t="s">
        <v>134</v>
      </c>
      <c r="E44" s="10" t="s">
        <v>66</v>
      </c>
      <c r="F44" s="13" t="s">
        <v>86</v>
      </c>
      <c r="G44" s="11">
        <v>21303.599999999999</v>
      </c>
      <c r="H44" s="12">
        <v>32571</v>
      </c>
    </row>
    <row r="45" spans="1:8" x14ac:dyDescent="0.25">
      <c r="A45" s="9">
        <v>1922</v>
      </c>
      <c r="B45" s="10" t="s">
        <v>72</v>
      </c>
      <c r="C45" s="10" t="s">
        <v>260</v>
      </c>
      <c r="D45" s="10" t="s">
        <v>134</v>
      </c>
      <c r="E45" s="10" t="s">
        <v>66</v>
      </c>
      <c r="F45" s="13" t="s">
        <v>67</v>
      </c>
      <c r="G45" s="11">
        <v>28404.799999999999</v>
      </c>
      <c r="H45" s="12">
        <v>31751</v>
      </c>
    </row>
    <row r="46" spans="1:8" hidden="1" x14ac:dyDescent="0.25">
      <c r="A46" s="9">
        <v>1011</v>
      </c>
      <c r="B46" s="10" t="s">
        <v>58</v>
      </c>
      <c r="C46" s="10" t="s">
        <v>59</v>
      </c>
      <c r="D46" s="10" t="s">
        <v>60</v>
      </c>
      <c r="E46" s="10" t="s">
        <v>61</v>
      </c>
      <c r="F46" s="10" t="s">
        <v>62</v>
      </c>
      <c r="G46" s="11">
        <v>27597.85</v>
      </c>
      <c r="H46" s="12">
        <v>31446</v>
      </c>
    </row>
    <row r="47" spans="1:8" hidden="1" x14ac:dyDescent="0.25">
      <c r="A47" s="9">
        <v>1152</v>
      </c>
      <c r="B47" s="10" t="s">
        <v>102</v>
      </c>
      <c r="C47" s="10" t="s">
        <v>103</v>
      </c>
      <c r="D47" s="10" t="s">
        <v>60</v>
      </c>
      <c r="E47" s="10" t="s">
        <v>61</v>
      </c>
      <c r="F47" s="13" t="s">
        <v>67</v>
      </c>
      <c r="G47" s="11">
        <v>26646.2</v>
      </c>
      <c r="H47" s="12">
        <v>32894</v>
      </c>
    </row>
    <row r="48" spans="1:8" hidden="1" x14ac:dyDescent="0.25">
      <c r="A48" s="9">
        <v>1516</v>
      </c>
      <c r="B48" s="10" t="s">
        <v>187</v>
      </c>
      <c r="C48" s="10" t="s">
        <v>188</v>
      </c>
      <c r="D48" s="10" t="s">
        <v>60</v>
      </c>
      <c r="E48" s="10" t="s">
        <v>61</v>
      </c>
      <c r="F48" s="10" t="s">
        <v>67</v>
      </c>
      <c r="G48" s="11">
        <v>28549.5</v>
      </c>
      <c r="H48" s="12">
        <v>31112</v>
      </c>
    </row>
    <row r="49" spans="1:8" hidden="1" x14ac:dyDescent="0.25">
      <c r="A49" s="9">
        <v>1674</v>
      </c>
      <c r="B49" s="10" t="s">
        <v>218</v>
      </c>
      <c r="C49" s="10" t="s">
        <v>117</v>
      </c>
      <c r="D49" s="10" t="s">
        <v>60</v>
      </c>
      <c r="E49" s="10" t="s">
        <v>61</v>
      </c>
      <c r="F49" s="10" t="s">
        <v>86</v>
      </c>
      <c r="G49" s="11">
        <v>27597.85</v>
      </c>
      <c r="H49" s="12">
        <v>33688</v>
      </c>
    </row>
    <row r="50" spans="1:8" hidden="1" x14ac:dyDescent="0.25">
      <c r="A50" s="9">
        <v>1975</v>
      </c>
      <c r="B50" s="10" t="s">
        <v>286</v>
      </c>
      <c r="C50" s="10" t="s">
        <v>287</v>
      </c>
      <c r="D50" s="10" t="s">
        <v>60</v>
      </c>
      <c r="E50" s="10" t="s">
        <v>61</v>
      </c>
      <c r="F50" s="10" t="s">
        <v>62</v>
      </c>
      <c r="G50" s="11">
        <v>21887.95</v>
      </c>
      <c r="H50" s="12">
        <v>33365</v>
      </c>
    </row>
    <row r="51" spans="1:8" hidden="1" x14ac:dyDescent="0.25">
      <c r="A51" s="9">
        <v>1300</v>
      </c>
      <c r="B51" s="10" t="s">
        <v>135</v>
      </c>
      <c r="C51" s="10" t="s">
        <v>136</v>
      </c>
      <c r="D51" s="10" t="s">
        <v>137</v>
      </c>
      <c r="E51" s="10" t="s">
        <v>61</v>
      </c>
      <c r="F51" s="10" t="s">
        <v>67</v>
      </c>
      <c r="G51" s="11">
        <v>30451.68</v>
      </c>
      <c r="H51" s="12">
        <v>32855</v>
      </c>
    </row>
    <row r="52" spans="1:8" hidden="1" x14ac:dyDescent="0.25">
      <c r="A52" s="9">
        <v>1330</v>
      </c>
      <c r="B52" s="10" t="s">
        <v>152</v>
      </c>
      <c r="C52" s="10" t="s">
        <v>153</v>
      </c>
      <c r="D52" s="10" t="s">
        <v>137</v>
      </c>
      <c r="E52" s="10" t="s">
        <v>61</v>
      </c>
      <c r="F52" s="10" t="s">
        <v>62</v>
      </c>
      <c r="G52" s="11">
        <v>31539.24</v>
      </c>
      <c r="H52" s="12">
        <v>32553</v>
      </c>
    </row>
    <row r="53" spans="1:8" hidden="1" x14ac:dyDescent="0.25">
      <c r="A53" s="9">
        <v>1573</v>
      </c>
      <c r="B53" s="10" t="s">
        <v>205</v>
      </c>
      <c r="C53" s="10" t="s">
        <v>206</v>
      </c>
      <c r="D53" s="10" t="s">
        <v>137</v>
      </c>
      <c r="E53" s="10" t="s">
        <v>61</v>
      </c>
      <c r="F53" s="10" t="s">
        <v>86</v>
      </c>
      <c r="G53" s="11">
        <v>35889.480000000003</v>
      </c>
      <c r="H53" s="12">
        <v>32331</v>
      </c>
    </row>
    <row r="54" spans="1:8" hidden="1" x14ac:dyDescent="0.25">
      <c r="A54" s="9">
        <v>1657</v>
      </c>
      <c r="B54" s="10" t="s">
        <v>210</v>
      </c>
      <c r="C54" s="10" t="s">
        <v>211</v>
      </c>
      <c r="D54" s="10" t="s">
        <v>137</v>
      </c>
      <c r="E54" s="10" t="s">
        <v>61</v>
      </c>
      <c r="F54" s="13" t="s">
        <v>67</v>
      </c>
      <c r="G54" s="11">
        <v>32626.799999999999</v>
      </c>
      <c r="H54" s="12">
        <v>32117</v>
      </c>
    </row>
    <row r="55" spans="1:8" hidden="1" x14ac:dyDescent="0.25">
      <c r="A55" s="9">
        <v>1931</v>
      </c>
      <c r="B55" s="10" t="s">
        <v>262</v>
      </c>
      <c r="C55" s="10" t="s">
        <v>263</v>
      </c>
      <c r="D55" s="10" t="s">
        <v>137</v>
      </c>
      <c r="E55" s="10" t="s">
        <v>61</v>
      </c>
      <c r="F55" s="10" t="s">
        <v>62</v>
      </c>
      <c r="G55" s="11">
        <v>26101.439999999999</v>
      </c>
      <c r="H55" s="12">
        <v>32679</v>
      </c>
    </row>
    <row r="56" spans="1:8" hidden="1" x14ac:dyDescent="0.25">
      <c r="A56" s="9">
        <v>1932</v>
      </c>
      <c r="B56" s="10" t="s">
        <v>264</v>
      </c>
      <c r="C56" s="10" t="s">
        <v>98</v>
      </c>
      <c r="D56" s="10" t="s">
        <v>137</v>
      </c>
      <c r="E56" s="10" t="s">
        <v>61</v>
      </c>
      <c r="F56" s="13" t="s">
        <v>86</v>
      </c>
      <c r="G56" s="11">
        <v>47852.639999999999</v>
      </c>
      <c r="H56" s="12">
        <v>32671</v>
      </c>
    </row>
    <row r="57" spans="1:8" hidden="1" x14ac:dyDescent="0.25">
      <c r="A57" s="9">
        <v>1302</v>
      </c>
      <c r="B57" s="10" t="s">
        <v>143</v>
      </c>
      <c r="C57" s="10" t="s">
        <v>144</v>
      </c>
      <c r="D57" s="10" t="s">
        <v>145</v>
      </c>
      <c r="E57" s="10" t="s">
        <v>66</v>
      </c>
      <c r="F57" s="13" t="s">
        <v>86</v>
      </c>
      <c r="G57" s="11">
        <v>79280.160000000003</v>
      </c>
      <c r="H57" s="12">
        <v>30892</v>
      </c>
    </row>
    <row r="58" spans="1:8" hidden="1" x14ac:dyDescent="0.25">
      <c r="A58" s="9">
        <v>1517</v>
      </c>
      <c r="B58" s="10" t="s">
        <v>189</v>
      </c>
      <c r="C58" s="10" t="s">
        <v>190</v>
      </c>
      <c r="D58" s="10" t="s">
        <v>145</v>
      </c>
      <c r="E58" s="10" t="s">
        <v>66</v>
      </c>
      <c r="F58" s="13" t="s">
        <v>67</v>
      </c>
      <c r="G58" s="11">
        <v>62589.599999999999</v>
      </c>
      <c r="H58" s="12">
        <v>31104</v>
      </c>
    </row>
    <row r="59" spans="1:8" hidden="1" x14ac:dyDescent="0.25">
      <c r="A59" s="9">
        <v>1815</v>
      </c>
      <c r="B59" s="10" t="s">
        <v>250</v>
      </c>
      <c r="C59" s="10" t="s">
        <v>251</v>
      </c>
      <c r="D59" s="10" t="s">
        <v>145</v>
      </c>
      <c r="E59" s="10" t="s">
        <v>66</v>
      </c>
      <c r="F59" s="10" t="s">
        <v>62</v>
      </c>
      <c r="G59" s="11">
        <v>70934.880000000005</v>
      </c>
      <c r="H59" s="12">
        <v>29276</v>
      </c>
    </row>
    <row r="60" spans="1:8" hidden="1" x14ac:dyDescent="0.25">
      <c r="A60" s="9">
        <v>1056</v>
      </c>
      <c r="B60" s="10" t="s">
        <v>79</v>
      </c>
      <c r="C60" s="10" t="s">
        <v>80</v>
      </c>
      <c r="D60" s="10" t="s">
        <v>81</v>
      </c>
      <c r="E60" s="10" t="s">
        <v>82</v>
      </c>
      <c r="F60" s="10" t="s">
        <v>62</v>
      </c>
      <c r="G60" s="11">
        <v>116511.36</v>
      </c>
      <c r="H60" s="12">
        <v>29153</v>
      </c>
    </row>
    <row r="61" spans="1:8" hidden="1" x14ac:dyDescent="0.25">
      <c r="A61" s="9">
        <v>1725</v>
      </c>
      <c r="B61" s="10" t="s">
        <v>236</v>
      </c>
      <c r="C61" s="10" t="s">
        <v>237</v>
      </c>
      <c r="D61" s="10" t="s">
        <v>81</v>
      </c>
      <c r="E61" s="10" t="s">
        <v>82</v>
      </c>
      <c r="F61" s="13" t="s">
        <v>67</v>
      </c>
      <c r="G61" s="11">
        <v>79061.279999999999</v>
      </c>
      <c r="H61" s="12">
        <v>28533</v>
      </c>
    </row>
    <row r="62" spans="1:8" hidden="1" x14ac:dyDescent="0.25">
      <c r="A62" s="9">
        <v>1908</v>
      </c>
      <c r="B62" s="10" t="s">
        <v>258</v>
      </c>
      <c r="C62" s="10" t="s">
        <v>259</v>
      </c>
      <c r="D62" s="10" t="s">
        <v>81</v>
      </c>
      <c r="E62" s="10" t="s">
        <v>82</v>
      </c>
      <c r="F62" s="13" t="s">
        <v>86</v>
      </c>
      <c r="G62" s="11">
        <v>72819.600000000006</v>
      </c>
      <c r="H62" s="12">
        <v>30817</v>
      </c>
    </row>
    <row r="63" spans="1:8" hidden="1" x14ac:dyDescent="0.25">
      <c r="A63" s="9">
        <v>1725</v>
      </c>
      <c r="B63" s="10" t="s">
        <v>235</v>
      </c>
      <c r="C63" s="10" t="s">
        <v>110</v>
      </c>
      <c r="D63" s="10" t="s">
        <v>81</v>
      </c>
      <c r="E63" s="10" t="s">
        <v>78</v>
      </c>
      <c r="F63" s="10" t="s">
        <v>62</v>
      </c>
      <c r="G63" s="11">
        <v>97096.35</v>
      </c>
      <c r="H63" s="12">
        <v>28523</v>
      </c>
    </row>
    <row r="64" spans="1:8" hidden="1" x14ac:dyDescent="0.25">
      <c r="A64" s="9">
        <v>1067</v>
      </c>
      <c r="B64" s="10" t="s">
        <v>83</v>
      </c>
      <c r="C64" s="10" t="s">
        <v>84</v>
      </c>
      <c r="D64" s="10" t="s">
        <v>85</v>
      </c>
      <c r="E64" s="10" t="s">
        <v>75</v>
      </c>
      <c r="F64" s="13" t="s">
        <v>86</v>
      </c>
      <c r="G64" s="11">
        <v>36939.839999999997</v>
      </c>
      <c r="H64" s="12">
        <v>32040</v>
      </c>
    </row>
    <row r="65" spans="1:8" hidden="1" x14ac:dyDescent="0.25">
      <c r="A65" s="9">
        <v>1695</v>
      </c>
      <c r="B65" s="10" t="s">
        <v>226</v>
      </c>
      <c r="C65" s="10" t="s">
        <v>227</v>
      </c>
      <c r="D65" s="10" t="s">
        <v>85</v>
      </c>
      <c r="E65" s="10" t="s">
        <v>75</v>
      </c>
      <c r="F65" s="10" t="s">
        <v>86</v>
      </c>
      <c r="G65" s="11">
        <v>38094.21</v>
      </c>
      <c r="H65" s="12">
        <v>30975</v>
      </c>
    </row>
    <row r="66" spans="1:8" hidden="1" x14ac:dyDescent="0.25">
      <c r="A66" s="9">
        <v>1758</v>
      </c>
      <c r="B66" s="10" t="s">
        <v>238</v>
      </c>
      <c r="C66" s="10" t="s">
        <v>239</v>
      </c>
      <c r="D66" s="10" t="s">
        <v>85</v>
      </c>
      <c r="E66" s="10" t="s">
        <v>75</v>
      </c>
      <c r="F66" s="13" t="s">
        <v>67</v>
      </c>
      <c r="G66" s="11">
        <v>35785.47</v>
      </c>
      <c r="H66" s="12">
        <v>30028</v>
      </c>
    </row>
    <row r="67" spans="1:8" hidden="1" x14ac:dyDescent="0.25">
      <c r="A67" s="9">
        <v>1792</v>
      </c>
      <c r="B67" s="10" t="s">
        <v>242</v>
      </c>
      <c r="C67" s="10" t="s">
        <v>243</v>
      </c>
      <c r="D67" s="10" t="s">
        <v>85</v>
      </c>
      <c r="E67" s="10" t="s">
        <v>75</v>
      </c>
      <c r="F67" s="10" t="s">
        <v>62</v>
      </c>
      <c r="G67" s="11">
        <v>28859.25</v>
      </c>
      <c r="H67" s="12">
        <v>33231</v>
      </c>
    </row>
    <row r="68" spans="1:8" hidden="1" x14ac:dyDescent="0.25">
      <c r="A68" s="9">
        <v>1977</v>
      </c>
      <c r="B68" s="10" t="s">
        <v>290</v>
      </c>
      <c r="C68" s="10" t="s">
        <v>291</v>
      </c>
      <c r="D68" s="10" t="s">
        <v>85</v>
      </c>
      <c r="E68" s="10" t="s">
        <v>75</v>
      </c>
      <c r="F68" s="10" t="s">
        <v>62</v>
      </c>
      <c r="G68" s="11">
        <v>30013.62</v>
      </c>
      <c r="H68" s="12">
        <v>29385</v>
      </c>
    </row>
    <row r="69" spans="1:8" hidden="1" x14ac:dyDescent="0.25">
      <c r="A69" s="9">
        <v>1285</v>
      </c>
      <c r="B69" s="10" t="s">
        <v>119</v>
      </c>
      <c r="C69" s="10" t="s">
        <v>120</v>
      </c>
      <c r="D69" s="10" t="s">
        <v>121</v>
      </c>
      <c r="E69" s="10" t="s">
        <v>78</v>
      </c>
      <c r="F69" s="13" t="s">
        <v>67</v>
      </c>
      <c r="G69" s="11">
        <v>77179.149999999994</v>
      </c>
      <c r="H69" s="12">
        <v>31043</v>
      </c>
    </row>
    <row r="70" spans="1:8" hidden="1" x14ac:dyDescent="0.25">
      <c r="A70" s="9">
        <v>1950</v>
      </c>
      <c r="B70" s="10" t="s">
        <v>72</v>
      </c>
      <c r="C70" s="10" t="s">
        <v>268</v>
      </c>
      <c r="D70" s="10" t="s">
        <v>121</v>
      </c>
      <c r="E70" s="10" t="s">
        <v>78</v>
      </c>
      <c r="F70" s="13" t="s">
        <v>86</v>
      </c>
      <c r="G70" s="11">
        <v>104565.3</v>
      </c>
      <c r="H70" s="12">
        <v>29863</v>
      </c>
    </row>
    <row r="71" spans="1:8" hidden="1" x14ac:dyDescent="0.25">
      <c r="A71" s="9">
        <v>1012</v>
      </c>
      <c r="B71" s="10" t="s">
        <v>63</v>
      </c>
      <c r="C71" s="10" t="s">
        <v>64</v>
      </c>
      <c r="D71" s="10" t="s">
        <v>65</v>
      </c>
      <c r="E71" s="10" t="s">
        <v>66</v>
      </c>
      <c r="F71" s="13" t="s">
        <v>67</v>
      </c>
      <c r="G71" s="11">
        <v>43394.15</v>
      </c>
      <c r="H71" s="12">
        <v>31438</v>
      </c>
    </row>
    <row r="72" spans="1:8" hidden="1" x14ac:dyDescent="0.25">
      <c r="A72" s="9">
        <v>1068</v>
      </c>
      <c r="B72" s="10" t="s">
        <v>87</v>
      </c>
      <c r="C72" s="10" t="s">
        <v>88</v>
      </c>
      <c r="D72" s="10" t="s">
        <v>65</v>
      </c>
      <c r="E72" s="10" t="s">
        <v>66</v>
      </c>
      <c r="F72" s="13" t="s">
        <v>67</v>
      </c>
      <c r="G72" s="11">
        <v>47883.199999999997</v>
      </c>
      <c r="H72" s="12">
        <v>32032</v>
      </c>
    </row>
    <row r="73" spans="1:8" hidden="1" x14ac:dyDescent="0.25">
      <c r="A73" s="9">
        <v>1294</v>
      </c>
      <c r="B73" s="10" t="s">
        <v>131</v>
      </c>
      <c r="C73" s="10" t="s">
        <v>69</v>
      </c>
      <c r="D73" s="10" t="s">
        <v>65</v>
      </c>
      <c r="E73" s="10" t="s">
        <v>66</v>
      </c>
      <c r="F73" s="13" t="s">
        <v>86</v>
      </c>
      <c r="G73" s="11">
        <v>58357.65</v>
      </c>
      <c r="H73" s="12">
        <v>30931</v>
      </c>
    </row>
    <row r="74" spans="1:8" hidden="1" x14ac:dyDescent="0.25">
      <c r="A74" s="9">
        <v>1510</v>
      </c>
      <c r="B74" s="10" t="s">
        <v>185</v>
      </c>
      <c r="C74" s="10" t="s">
        <v>186</v>
      </c>
      <c r="D74" s="10" t="s">
        <v>65</v>
      </c>
      <c r="E74" s="10" t="s">
        <v>66</v>
      </c>
      <c r="F74" s="10" t="s">
        <v>62</v>
      </c>
      <c r="G74" s="11">
        <v>46386.85</v>
      </c>
      <c r="H74" s="12">
        <v>31209</v>
      </c>
    </row>
    <row r="75" spans="1:8" hidden="1" x14ac:dyDescent="0.25">
      <c r="A75" s="9">
        <v>1696</v>
      </c>
      <c r="B75" s="10" t="s">
        <v>228</v>
      </c>
      <c r="C75" s="10" t="s">
        <v>229</v>
      </c>
      <c r="D75" s="10" t="s">
        <v>65</v>
      </c>
      <c r="E75" s="10" t="s">
        <v>66</v>
      </c>
      <c r="F75" s="10" t="s">
        <v>62</v>
      </c>
      <c r="G75" s="11">
        <v>79306.55</v>
      </c>
      <c r="H75" s="12">
        <v>30967</v>
      </c>
    </row>
    <row r="76" spans="1:8" hidden="1" x14ac:dyDescent="0.25">
      <c r="A76" s="9">
        <v>1154</v>
      </c>
      <c r="B76" s="10" t="s">
        <v>106</v>
      </c>
      <c r="C76" s="10" t="s">
        <v>107</v>
      </c>
      <c r="D76" s="10" t="s">
        <v>108</v>
      </c>
      <c r="E76" s="10" t="s">
        <v>66</v>
      </c>
      <c r="F76" s="10" t="s">
        <v>62</v>
      </c>
      <c r="G76" s="11">
        <v>56177.3</v>
      </c>
      <c r="H76" s="12">
        <v>31965</v>
      </c>
    </row>
    <row r="77" spans="1:8" hidden="1" x14ac:dyDescent="0.25">
      <c r="A77" s="9">
        <v>1169</v>
      </c>
      <c r="B77" s="10" t="s">
        <v>114</v>
      </c>
      <c r="C77" s="10" t="s">
        <v>115</v>
      </c>
      <c r="D77" s="10" t="s">
        <v>108</v>
      </c>
      <c r="E77" s="10" t="s">
        <v>66</v>
      </c>
      <c r="F77" s="13" t="s">
        <v>62</v>
      </c>
      <c r="G77" s="11">
        <v>34002.050000000003</v>
      </c>
      <c r="H77" s="12">
        <v>33890</v>
      </c>
    </row>
    <row r="78" spans="1:8" hidden="1" x14ac:dyDescent="0.25">
      <c r="A78" s="9">
        <v>1303</v>
      </c>
      <c r="B78" s="10" t="s">
        <v>146</v>
      </c>
      <c r="C78" s="10" t="s">
        <v>147</v>
      </c>
      <c r="D78" s="10" t="s">
        <v>108</v>
      </c>
      <c r="E78" s="10" t="s">
        <v>66</v>
      </c>
      <c r="F78" s="13" t="s">
        <v>67</v>
      </c>
      <c r="G78" s="11">
        <v>56177.3</v>
      </c>
      <c r="H78" s="12">
        <v>32205</v>
      </c>
    </row>
    <row r="79" spans="1:8" hidden="1" x14ac:dyDescent="0.25">
      <c r="A79" s="9">
        <v>1331</v>
      </c>
      <c r="B79" s="10" t="s">
        <v>154</v>
      </c>
      <c r="C79" s="10" t="s">
        <v>155</v>
      </c>
      <c r="D79" s="10" t="s">
        <v>108</v>
      </c>
      <c r="E79" s="10" t="s">
        <v>66</v>
      </c>
      <c r="F79" s="13" t="s">
        <v>67</v>
      </c>
      <c r="G79" s="11">
        <v>42872.15</v>
      </c>
      <c r="H79" s="12">
        <v>32639</v>
      </c>
    </row>
    <row r="80" spans="1:8" hidden="1" x14ac:dyDescent="0.25">
      <c r="A80" s="9">
        <v>1518</v>
      </c>
      <c r="B80" s="10" t="s">
        <v>191</v>
      </c>
      <c r="C80" s="10" t="s">
        <v>192</v>
      </c>
      <c r="D80" s="10" t="s">
        <v>108</v>
      </c>
      <c r="E80" s="10" t="s">
        <v>66</v>
      </c>
      <c r="F80" s="13" t="s">
        <v>67</v>
      </c>
      <c r="G80" s="11">
        <v>44350.5</v>
      </c>
      <c r="H80" s="12">
        <v>33042</v>
      </c>
    </row>
    <row r="81" spans="1:8" hidden="1" x14ac:dyDescent="0.25">
      <c r="A81" s="9">
        <v>1658</v>
      </c>
      <c r="B81" s="10" t="s">
        <v>212</v>
      </c>
      <c r="C81" s="10" t="s">
        <v>213</v>
      </c>
      <c r="D81" s="10" t="s">
        <v>108</v>
      </c>
      <c r="E81" s="10" t="s">
        <v>66</v>
      </c>
      <c r="F81" s="10" t="s">
        <v>62</v>
      </c>
      <c r="G81" s="11">
        <v>44350.5</v>
      </c>
      <c r="H81" s="12">
        <v>32300</v>
      </c>
    </row>
    <row r="82" spans="1:8" hidden="1" x14ac:dyDescent="0.25">
      <c r="A82" s="9">
        <v>1816</v>
      </c>
      <c r="B82" s="10" t="s">
        <v>252</v>
      </c>
      <c r="C82" s="10" t="s">
        <v>253</v>
      </c>
      <c r="D82" s="10" t="s">
        <v>108</v>
      </c>
      <c r="E82" s="10" t="s">
        <v>66</v>
      </c>
      <c r="F82" s="13" t="s">
        <v>86</v>
      </c>
      <c r="G82" s="11">
        <v>35480.400000000001</v>
      </c>
      <c r="H82" s="12">
        <v>33062</v>
      </c>
    </row>
    <row r="83" spans="1:8" hidden="1" x14ac:dyDescent="0.25">
      <c r="A83" s="9">
        <v>1977</v>
      </c>
      <c r="B83" s="10" t="s">
        <v>292</v>
      </c>
      <c r="C83" s="10" t="s">
        <v>293</v>
      </c>
      <c r="D83" s="10" t="s">
        <v>108</v>
      </c>
      <c r="E83" s="10" t="s">
        <v>66</v>
      </c>
      <c r="F83" s="13" t="s">
        <v>86</v>
      </c>
      <c r="G83" s="11">
        <v>48785.55</v>
      </c>
      <c r="H83" s="12">
        <v>33490</v>
      </c>
    </row>
    <row r="84" spans="1:8" hidden="1" x14ac:dyDescent="0.25">
      <c r="A84" s="9">
        <v>1301</v>
      </c>
      <c r="B84" s="10" t="s">
        <v>140</v>
      </c>
      <c r="C84" s="10" t="s">
        <v>141</v>
      </c>
      <c r="D84" s="10" t="s">
        <v>142</v>
      </c>
      <c r="E84" s="10" t="s">
        <v>66</v>
      </c>
      <c r="F84" s="13" t="s">
        <v>67</v>
      </c>
      <c r="G84" s="11">
        <v>58325.82</v>
      </c>
      <c r="H84" s="12">
        <v>31421</v>
      </c>
    </row>
    <row r="85" spans="1:8" hidden="1" x14ac:dyDescent="0.25">
      <c r="A85" s="9">
        <v>1354</v>
      </c>
      <c r="B85" s="10" t="s">
        <v>165</v>
      </c>
      <c r="C85" s="10" t="s">
        <v>47</v>
      </c>
      <c r="D85" s="10" t="s">
        <v>142</v>
      </c>
      <c r="E85" s="10" t="s">
        <v>66</v>
      </c>
      <c r="F85" s="10" t="s">
        <v>62</v>
      </c>
      <c r="G85" s="11">
        <v>69070.05</v>
      </c>
      <c r="H85" s="12">
        <v>31538</v>
      </c>
    </row>
    <row r="86" spans="1:8" hidden="1" x14ac:dyDescent="0.25">
      <c r="A86" s="9">
        <v>1428</v>
      </c>
      <c r="B86" s="10" t="s">
        <v>181</v>
      </c>
      <c r="C86" s="10" t="s">
        <v>182</v>
      </c>
      <c r="D86" s="10" t="s">
        <v>142</v>
      </c>
      <c r="E86" s="10" t="s">
        <v>66</v>
      </c>
      <c r="F86" s="13" t="s">
        <v>67</v>
      </c>
      <c r="G86" s="11">
        <v>53721.15</v>
      </c>
      <c r="H86" s="12">
        <v>31728</v>
      </c>
    </row>
    <row r="87" spans="1:8" hidden="1" x14ac:dyDescent="0.25">
      <c r="A87" s="9">
        <v>1574</v>
      </c>
      <c r="B87" s="10" t="s">
        <v>207</v>
      </c>
      <c r="C87" s="10" t="s">
        <v>110</v>
      </c>
      <c r="D87" s="10" t="s">
        <v>142</v>
      </c>
      <c r="E87" s="10" t="s">
        <v>66</v>
      </c>
      <c r="F87" s="13" t="s">
        <v>86</v>
      </c>
      <c r="G87" s="11">
        <v>50651.37</v>
      </c>
      <c r="H87" s="12">
        <v>31452</v>
      </c>
    </row>
    <row r="88" spans="1:8" hidden="1" x14ac:dyDescent="0.25">
      <c r="A88" s="9">
        <v>1933</v>
      </c>
      <c r="B88" s="10" t="s">
        <v>265</v>
      </c>
      <c r="C88" s="10" t="s">
        <v>46</v>
      </c>
      <c r="D88" s="10" t="s">
        <v>142</v>
      </c>
      <c r="E88" s="10" t="s">
        <v>66</v>
      </c>
      <c r="F88" s="10" t="s">
        <v>86</v>
      </c>
      <c r="G88" s="11">
        <v>67535.16</v>
      </c>
      <c r="H88" s="12">
        <v>30689</v>
      </c>
    </row>
    <row r="89" spans="1:8" hidden="1" x14ac:dyDescent="0.25">
      <c r="A89" s="9">
        <v>1076</v>
      </c>
      <c r="B89" s="10" t="s">
        <v>91</v>
      </c>
      <c r="C89" s="10" t="s">
        <v>92</v>
      </c>
      <c r="D89" s="10" t="s">
        <v>93</v>
      </c>
      <c r="E89" s="10" t="s">
        <v>66</v>
      </c>
      <c r="F89" s="13" t="s">
        <v>62</v>
      </c>
      <c r="G89" s="11">
        <v>105753.02</v>
      </c>
      <c r="H89" s="12">
        <v>29066</v>
      </c>
    </row>
    <row r="90" spans="1:8" hidden="1" x14ac:dyDescent="0.25">
      <c r="A90" s="9">
        <v>1759</v>
      </c>
      <c r="B90" s="10" t="s">
        <v>240</v>
      </c>
      <c r="C90" s="10" t="s">
        <v>241</v>
      </c>
      <c r="D90" s="10" t="s">
        <v>93</v>
      </c>
      <c r="E90" s="10" t="s">
        <v>66</v>
      </c>
      <c r="F90" s="13" t="s">
        <v>67</v>
      </c>
      <c r="G90" s="11">
        <v>61855.54</v>
      </c>
      <c r="H90" s="12">
        <v>30020</v>
      </c>
    </row>
    <row r="91" spans="1:8" hidden="1" x14ac:dyDescent="0.25">
      <c r="A91" s="9">
        <v>1978</v>
      </c>
      <c r="B91" s="10" t="s">
        <v>294</v>
      </c>
      <c r="C91" s="10" t="s">
        <v>295</v>
      </c>
      <c r="D91" s="10" t="s">
        <v>93</v>
      </c>
      <c r="E91" s="10" t="s">
        <v>66</v>
      </c>
      <c r="F91" s="13" t="s">
        <v>86</v>
      </c>
      <c r="G91" s="11">
        <v>51878.84</v>
      </c>
      <c r="H91" s="12">
        <v>29377</v>
      </c>
    </row>
    <row r="92" spans="1:8" hidden="1" x14ac:dyDescent="0.25">
      <c r="A92" s="9">
        <v>1080</v>
      </c>
      <c r="B92" s="10" t="s">
        <v>99</v>
      </c>
      <c r="C92" s="10" t="s">
        <v>100</v>
      </c>
      <c r="D92" s="10" t="s">
        <v>101</v>
      </c>
      <c r="E92" s="10" t="s">
        <v>71</v>
      </c>
      <c r="F92" s="13" t="s">
        <v>67</v>
      </c>
      <c r="G92" s="11">
        <v>64738.18</v>
      </c>
      <c r="H92" s="12">
        <v>32445</v>
      </c>
    </row>
    <row r="93" spans="1:8" hidden="1" x14ac:dyDescent="0.25">
      <c r="A93" s="9">
        <v>1370</v>
      </c>
      <c r="B93" s="10" t="s">
        <v>176</v>
      </c>
      <c r="C93" s="10" t="s">
        <v>177</v>
      </c>
      <c r="D93" s="10" t="s">
        <v>101</v>
      </c>
      <c r="E93" s="10" t="s">
        <v>71</v>
      </c>
      <c r="F93" s="13" t="s">
        <v>67</v>
      </c>
      <c r="G93" s="11">
        <v>53685.32</v>
      </c>
      <c r="H93" s="12">
        <v>32108</v>
      </c>
    </row>
    <row r="94" spans="1:8" hidden="1" x14ac:dyDescent="0.25">
      <c r="A94" s="9">
        <v>1531</v>
      </c>
      <c r="B94" s="10" t="s">
        <v>197</v>
      </c>
      <c r="C94" s="10" t="s">
        <v>198</v>
      </c>
      <c r="D94" s="10" t="s">
        <v>101</v>
      </c>
      <c r="E94" s="10" t="s">
        <v>71</v>
      </c>
      <c r="F94" s="10" t="s">
        <v>62</v>
      </c>
      <c r="G94" s="11">
        <v>41053.480000000003</v>
      </c>
      <c r="H94" s="12">
        <v>31543</v>
      </c>
    </row>
    <row r="95" spans="1:8" hidden="1" x14ac:dyDescent="0.25">
      <c r="A95" s="9">
        <v>1677</v>
      </c>
      <c r="B95" s="10" t="s">
        <v>224</v>
      </c>
      <c r="C95" s="10" t="s">
        <v>225</v>
      </c>
      <c r="D95" s="10" t="s">
        <v>101</v>
      </c>
      <c r="E95" s="10" t="s">
        <v>71</v>
      </c>
      <c r="F95" s="13" t="s">
        <v>86</v>
      </c>
      <c r="G95" s="11">
        <v>37895.519999999997</v>
      </c>
      <c r="H95" s="12">
        <v>32087</v>
      </c>
    </row>
    <row r="96" spans="1:8" hidden="1" x14ac:dyDescent="0.25">
      <c r="A96" s="9">
        <v>1353</v>
      </c>
      <c r="B96" s="10" t="s">
        <v>162</v>
      </c>
      <c r="C96" s="10" t="s">
        <v>163</v>
      </c>
      <c r="D96" s="10" t="s">
        <v>164</v>
      </c>
      <c r="E96" s="10" t="s">
        <v>71</v>
      </c>
      <c r="F96" s="13" t="s">
        <v>67</v>
      </c>
      <c r="G96" s="11">
        <v>59455.199999999997</v>
      </c>
      <c r="H96" s="12">
        <v>30204</v>
      </c>
    </row>
    <row r="97" spans="1:8" hidden="1" x14ac:dyDescent="0.25">
      <c r="A97" s="9">
        <v>1369</v>
      </c>
      <c r="B97" s="10" t="s">
        <v>174</v>
      </c>
      <c r="C97" s="10" t="s">
        <v>175</v>
      </c>
      <c r="D97" s="10" t="s">
        <v>164</v>
      </c>
      <c r="E97" s="10" t="s">
        <v>71</v>
      </c>
      <c r="F97" s="13" t="s">
        <v>86</v>
      </c>
      <c r="G97" s="11">
        <v>57756.480000000003</v>
      </c>
      <c r="H97" s="12">
        <v>30378</v>
      </c>
    </row>
    <row r="98" spans="1:8" hidden="1" x14ac:dyDescent="0.25">
      <c r="A98" s="9">
        <v>1427</v>
      </c>
      <c r="B98" s="10" t="s">
        <v>97</v>
      </c>
      <c r="C98" s="10" t="s">
        <v>180</v>
      </c>
      <c r="D98" s="10" t="s">
        <v>164</v>
      </c>
      <c r="E98" s="10" t="s">
        <v>71</v>
      </c>
      <c r="F98" s="10" t="s">
        <v>62</v>
      </c>
      <c r="G98" s="11">
        <v>59455.199999999997</v>
      </c>
      <c r="H98" s="12">
        <v>28368</v>
      </c>
    </row>
    <row r="99" spans="1:8" hidden="1" x14ac:dyDescent="0.25">
      <c r="A99" s="9">
        <v>1968</v>
      </c>
      <c r="B99" s="10" t="s">
        <v>281</v>
      </c>
      <c r="C99" s="10" t="s">
        <v>282</v>
      </c>
      <c r="D99" s="10" t="s">
        <v>283</v>
      </c>
      <c r="E99" s="10" t="s">
        <v>82</v>
      </c>
      <c r="F99" s="10" t="s">
        <v>67</v>
      </c>
      <c r="G99" s="11">
        <v>65821.56</v>
      </c>
      <c r="H99" s="12">
        <v>30046</v>
      </c>
    </row>
    <row r="100" spans="1:8" hidden="1" x14ac:dyDescent="0.25">
      <c r="A100" s="9">
        <v>1167</v>
      </c>
      <c r="B100" s="10" t="s">
        <v>109</v>
      </c>
      <c r="C100" s="10" t="s">
        <v>110</v>
      </c>
      <c r="D100" s="10" t="s">
        <v>111</v>
      </c>
      <c r="E100" s="10" t="s">
        <v>78</v>
      </c>
      <c r="F100" s="10" t="s">
        <v>62</v>
      </c>
      <c r="G100" s="11">
        <v>31913.88</v>
      </c>
      <c r="H100" s="12">
        <v>33346</v>
      </c>
    </row>
    <row r="101" spans="1:8" hidden="1" x14ac:dyDescent="0.25">
      <c r="A101" s="9">
        <v>1292</v>
      </c>
      <c r="B101" s="10" t="s">
        <v>126</v>
      </c>
      <c r="C101" s="10" t="s">
        <v>127</v>
      </c>
      <c r="D101" s="10" t="s">
        <v>111</v>
      </c>
      <c r="E101" s="10" t="s">
        <v>78</v>
      </c>
      <c r="F101" s="13" t="s">
        <v>67</v>
      </c>
      <c r="G101" s="11">
        <v>51339.72</v>
      </c>
      <c r="H101" s="12">
        <v>32101</v>
      </c>
    </row>
    <row r="102" spans="1:8" hidden="1" x14ac:dyDescent="0.25">
      <c r="A102" s="9">
        <v>1426</v>
      </c>
      <c r="B102" s="10" t="s">
        <v>178</v>
      </c>
      <c r="C102" s="10" t="s">
        <v>179</v>
      </c>
      <c r="D102" s="10" t="s">
        <v>111</v>
      </c>
      <c r="E102" s="10" t="s">
        <v>78</v>
      </c>
      <c r="F102" s="10" t="s">
        <v>86</v>
      </c>
      <c r="G102" s="11">
        <v>34689</v>
      </c>
      <c r="H102" s="12">
        <v>28376</v>
      </c>
    </row>
    <row r="103" spans="1:8" hidden="1" x14ac:dyDescent="0.25">
      <c r="A103" s="9">
        <v>1675</v>
      </c>
      <c r="B103" s="10" t="s">
        <v>219</v>
      </c>
      <c r="C103" s="10" t="s">
        <v>220</v>
      </c>
      <c r="D103" s="10" t="s">
        <v>111</v>
      </c>
      <c r="E103" s="10" t="s">
        <v>78</v>
      </c>
      <c r="F103" s="10" t="s">
        <v>62</v>
      </c>
      <c r="G103" s="11">
        <v>33301.440000000002</v>
      </c>
      <c r="H103" s="12">
        <v>29885</v>
      </c>
    </row>
    <row r="104" spans="1:8" hidden="1" x14ac:dyDescent="0.25">
      <c r="A104" s="9">
        <v>1962</v>
      </c>
      <c r="B104" s="10" t="s">
        <v>272</v>
      </c>
      <c r="C104" s="10" t="s">
        <v>273</v>
      </c>
      <c r="D104" s="10" t="s">
        <v>111</v>
      </c>
      <c r="E104" s="10" t="s">
        <v>78</v>
      </c>
      <c r="F104" s="13" t="s">
        <v>67</v>
      </c>
      <c r="G104" s="11">
        <v>66602.880000000005</v>
      </c>
      <c r="H104" s="12">
        <v>32072</v>
      </c>
    </row>
    <row r="105" spans="1:8" hidden="1" x14ac:dyDescent="0.25">
      <c r="A105" s="9">
        <v>1967</v>
      </c>
      <c r="B105" s="10" t="s">
        <v>278</v>
      </c>
      <c r="C105" s="10" t="s">
        <v>279</v>
      </c>
      <c r="D105" s="10" t="s">
        <v>111</v>
      </c>
      <c r="E105" s="10" t="s">
        <v>78</v>
      </c>
      <c r="F105" s="10" t="s">
        <v>62</v>
      </c>
      <c r="G105" s="11">
        <v>58277.52</v>
      </c>
      <c r="H105" s="12">
        <v>30054</v>
      </c>
    </row>
    <row r="106" spans="1:8" hidden="1" x14ac:dyDescent="0.25">
      <c r="A106" s="9">
        <v>1969</v>
      </c>
      <c r="B106" s="10" t="s">
        <v>284</v>
      </c>
      <c r="C106" s="10" t="s">
        <v>285</v>
      </c>
      <c r="D106" s="10" t="s">
        <v>111</v>
      </c>
      <c r="E106" s="10" t="s">
        <v>78</v>
      </c>
      <c r="F106" s="13" t="s">
        <v>67</v>
      </c>
      <c r="G106" s="11">
        <v>58277.52</v>
      </c>
      <c r="H106" s="12">
        <v>32612</v>
      </c>
    </row>
    <row r="107" spans="1:8" hidden="1" x14ac:dyDescent="0.25">
      <c r="A107" s="9">
        <v>1284</v>
      </c>
      <c r="B107" s="10" t="s">
        <v>116</v>
      </c>
      <c r="C107" s="10" t="s">
        <v>117</v>
      </c>
      <c r="D107" s="10" t="s">
        <v>118</v>
      </c>
      <c r="E107" s="10" t="s">
        <v>78</v>
      </c>
      <c r="F107" s="13" t="s">
        <v>86</v>
      </c>
      <c r="G107" s="11">
        <v>46486.05</v>
      </c>
      <c r="H107" s="12">
        <v>31051</v>
      </c>
    </row>
    <row r="108" spans="1:8" hidden="1" x14ac:dyDescent="0.25">
      <c r="A108" s="9">
        <v>1311</v>
      </c>
      <c r="B108" s="10" t="s">
        <v>148</v>
      </c>
      <c r="C108" s="10" t="s">
        <v>149</v>
      </c>
      <c r="D108" s="10" t="s">
        <v>118</v>
      </c>
      <c r="E108" s="10" t="s">
        <v>78</v>
      </c>
      <c r="F108" s="13" t="s">
        <v>67</v>
      </c>
      <c r="G108" s="11">
        <v>43486.95</v>
      </c>
      <c r="H108" s="12">
        <v>31681</v>
      </c>
    </row>
    <row r="109" spans="1:8" hidden="1" x14ac:dyDescent="0.25">
      <c r="A109" s="9">
        <v>1359</v>
      </c>
      <c r="B109" s="10" t="s">
        <v>166</v>
      </c>
      <c r="C109" s="10" t="s">
        <v>167</v>
      </c>
      <c r="D109" s="10" t="s">
        <v>118</v>
      </c>
      <c r="E109" s="10" t="s">
        <v>78</v>
      </c>
      <c r="F109" s="13" t="s">
        <v>67</v>
      </c>
      <c r="G109" s="11">
        <v>49485.15</v>
      </c>
      <c r="H109" s="12">
        <v>33094</v>
      </c>
    </row>
    <row r="110" spans="1:8" hidden="1" x14ac:dyDescent="0.25">
      <c r="A110" s="9">
        <v>1558</v>
      </c>
      <c r="B110" s="10" t="s">
        <v>201</v>
      </c>
      <c r="C110" s="10" t="s">
        <v>202</v>
      </c>
      <c r="D110" s="10" t="s">
        <v>118</v>
      </c>
      <c r="E110" s="10" t="s">
        <v>78</v>
      </c>
      <c r="F110" s="10" t="s">
        <v>62</v>
      </c>
      <c r="G110" s="11">
        <v>41987.4</v>
      </c>
      <c r="H110" s="12">
        <v>30240</v>
      </c>
    </row>
    <row r="111" spans="1:8" hidden="1" x14ac:dyDescent="0.25">
      <c r="A111" s="9">
        <v>1724</v>
      </c>
      <c r="B111" s="10" t="s">
        <v>234</v>
      </c>
      <c r="C111" s="10" t="s">
        <v>103</v>
      </c>
      <c r="D111" s="10" t="s">
        <v>118</v>
      </c>
      <c r="E111" s="10" t="s">
        <v>78</v>
      </c>
      <c r="F111" s="13" t="s">
        <v>67</v>
      </c>
      <c r="G111" s="11">
        <v>58482.45</v>
      </c>
      <c r="H111" s="12">
        <v>28531</v>
      </c>
    </row>
    <row r="112" spans="1:8" hidden="1" x14ac:dyDescent="0.25">
      <c r="A112" s="9">
        <v>1794</v>
      </c>
      <c r="B112" s="10" t="s">
        <v>246</v>
      </c>
      <c r="C112" s="10" t="s">
        <v>247</v>
      </c>
      <c r="D112" s="10" t="s">
        <v>118</v>
      </c>
      <c r="E112" s="10" t="s">
        <v>78</v>
      </c>
      <c r="F112" s="10" t="s">
        <v>86</v>
      </c>
      <c r="G112" s="11">
        <v>37488.75</v>
      </c>
      <c r="H112" s="12">
        <v>31034</v>
      </c>
    </row>
    <row r="113" spans="1:8" hidden="1" x14ac:dyDescent="0.25">
      <c r="A113" s="9">
        <v>1923</v>
      </c>
      <c r="B113" s="10" t="s">
        <v>261</v>
      </c>
      <c r="C113" s="10" t="s">
        <v>161</v>
      </c>
      <c r="D113" s="10" t="s">
        <v>118</v>
      </c>
      <c r="E113" s="10" t="s">
        <v>78</v>
      </c>
      <c r="F113" s="13" t="s">
        <v>86</v>
      </c>
      <c r="G113" s="11">
        <v>47985.599999999999</v>
      </c>
      <c r="H113" s="12">
        <v>31743</v>
      </c>
    </row>
    <row r="114" spans="1:8" hidden="1" x14ac:dyDescent="0.25">
      <c r="A114" s="9">
        <v>1949</v>
      </c>
      <c r="B114" s="10" t="s">
        <v>266</v>
      </c>
      <c r="C114" s="10" t="s">
        <v>267</v>
      </c>
      <c r="D114" s="10" t="s">
        <v>118</v>
      </c>
      <c r="E114" s="10" t="s">
        <v>78</v>
      </c>
      <c r="F114" s="10" t="s">
        <v>62</v>
      </c>
      <c r="G114" s="11">
        <v>62981.1</v>
      </c>
      <c r="H114" s="12">
        <v>29871</v>
      </c>
    </row>
    <row r="115" spans="1:8" hidden="1" x14ac:dyDescent="0.25">
      <c r="A115" s="9">
        <v>1968</v>
      </c>
      <c r="B115" s="10" t="s">
        <v>280</v>
      </c>
      <c r="C115" s="10" t="s">
        <v>167</v>
      </c>
      <c r="D115" s="10" t="s">
        <v>118</v>
      </c>
      <c r="E115" s="10" t="s">
        <v>78</v>
      </c>
      <c r="F115" s="10" t="s">
        <v>62</v>
      </c>
      <c r="G115" s="11">
        <v>35989.199999999997</v>
      </c>
      <c r="H115" s="12">
        <v>33970</v>
      </c>
    </row>
    <row r="116" spans="1:8" hidden="1" x14ac:dyDescent="0.25">
      <c r="A116" s="9">
        <v>1361</v>
      </c>
      <c r="B116" s="10" t="s">
        <v>170</v>
      </c>
      <c r="C116" s="10" t="s">
        <v>171</v>
      </c>
      <c r="D116" s="10" t="s">
        <v>130</v>
      </c>
      <c r="E116" s="10" t="s">
        <v>71</v>
      </c>
      <c r="F116" s="13" t="s">
        <v>67</v>
      </c>
      <c r="G116" s="11">
        <v>34605.449999999997</v>
      </c>
      <c r="H116" s="12">
        <v>32346</v>
      </c>
    </row>
    <row r="117" spans="1:8" hidden="1" x14ac:dyDescent="0.25">
      <c r="A117" s="9">
        <v>1293</v>
      </c>
      <c r="B117" s="10" t="s">
        <v>128</v>
      </c>
      <c r="C117" s="10" t="s">
        <v>129</v>
      </c>
      <c r="D117" s="10" t="s">
        <v>130</v>
      </c>
      <c r="E117" s="10" t="s">
        <v>66</v>
      </c>
      <c r="F117" s="13" t="s">
        <v>67</v>
      </c>
      <c r="G117" s="11">
        <v>40897.35</v>
      </c>
      <c r="H117" s="12">
        <v>30939</v>
      </c>
    </row>
    <row r="118" spans="1:8" hidden="1" x14ac:dyDescent="0.25">
      <c r="A118" s="9">
        <v>1310</v>
      </c>
      <c r="B118" s="10" t="s">
        <v>72</v>
      </c>
      <c r="C118" s="10" t="s">
        <v>98</v>
      </c>
      <c r="D118" s="10" t="s">
        <v>130</v>
      </c>
      <c r="E118" s="10" t="s">
        <v>66</v>
      </c>
      <c r="F118" s="10" t="s">
        <v>86</v>
      </c>
      <c r="G118" s="11">
        <v>30410.85</v>
      </c>
      <c r="H118" s="12">
        <v>31689</v>
      </c>
    </row>
    <row r="119" spans="1:8" hidden="1" x14ac:dyDescent="0.25">
      <c r="A119" s="9">
        <v>1329</v>
      </c>
      <c r="B119" s="10" t="s">
        <v>150</v>
      </c>
      <c r="C119" s="10" t="s">
        <v>151</v>
      </c>
      <c r="D119" s="10" t="s">
        <v>130</v>
      </c>
      <c r="E119" s="10" t="s">
        <v>66</v>
      </c>
      <c r="F119" s="13" t="s">
        <v>67</v>
      </c>
      <c r="G119" s="11">
        <v>30410.85</v>
      </c>
      <c r="H119" s="12">
        <v>32561</v>
      </c>
    </row>
    <row r="120" spans="1:8" hidden="1" x14ac:dyDescent="0.25">
      <c r="A120" s="9">
        <v>1333</v>
      </c>
      <c r="B120" s="10" t="s">
        <v>156</v>
      </c>
      <c r="C120" s="10" t="s">
        <v>157</v>
      </c>
      <c r="D120" s="10" t="s">
        <v>130</v>
      </c>
      <c r="E120" s="10" t="s">
        <v>66</v>
      </c>
      <c r="F120" s="10" t="s">
        <v>62</v>
      </c>
      <c r="G120" s="11">
        <v>29362.2</v>
      </c>
      <c r="H120" s="12">
        <v>32979</v>
      </c>
    </row>
    <row r="121" spans="1:8" hidden="1" x14ac:dyDescent="0.25">
      <c r="A121" s="9">
        <v>1556</v>
      </c>
      <c r="B121" s="10" t="s">
        <v>199</v>
      </c>
      <c r="C121" s="10" t="s">
        <v>190</v>
      </c>
      <c r="D121" s="10" t="s">
        <v>130</v>
      </c>
      <c r="E121" s="10" t="s">
        <v>66</v>
      </c>
      <c r="F121" s="13" t="s">
        <v>67</v>
      </c>
      <c r="G121" s="11">
        <v>29362.2</v>
      </c>
      <c r="H121" s="12">
        <v>29916</v>
      </c>
    </row>
    <row r="122" spans="1:8" hidden="1" x14ac:dyDescent="0.25">
      <c r="A122" s="9">
        <v>1572</v>
      </c>
      <c r="B122" s="10" t="s">
        <v>203</v>
      </c>
      <c r="C122" s="10" t="s">
        <v>204</v>
      </c>
      <c r="D122" s="10" t="s">
        <v>130</v>
      </c>
      <c r="E122" s="10" t="s">
        <v>66</v>
      </c>
      <c r="F122" s="13" t="s">
        <v>67</v>
      </c>
      <c r="G122" s="11">
        <v>34605.449999999997</v>
      </c>
      <c r="H122" s="12">
        <v>32339</v>
      </c>
    </row>
    <row r="123" spans="1:8" hidden="1" x14ac:dyDescent="0.25">
      <c r="A123" s="14">
        <v>1723</v>
      </c>
      <c r="B123" s="15" t="s">
        <v>230</v>
      </c>
      <c r="C123" s="15" t="s">
        <v>231</v>
      </c>
      <c r="D123" s="15" t="s">
        <v>130</v>
      </c>
      <c r="E123" s="15" t="s">
        <v>66</v>
      </c>
      <c r="F123" s="16" t="s">
        <v>86</v>
      </c>
      <c r="G123" s="17">
        <v>29362.2</v>
      </c>
      <c r="H123" s="18">
        <v>33091</v>
      </c>
    </row>
  </sheetData>
  <printOptions gridLines="1" gridLinesSet="0"/>
  <pageMargins left="0.75" right="0.75" top="1" bottom="1" header="0.5" footer="0.5"/>
  <pageSetup paperSize="9" orientation="portrait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F13F8EF-F4D6-4482-BBC7-6D39F69088FF}">
          <x14:formula1>
            <xm:f>Hoja2!$B$2:$B$7</xm:f>
          </x14:formula1>
          <xm:sqref>B7</xm:sqref>
        </x14:dataValidation>
        <x14:dataValidation type="list" allowBlank="1" showInputMessage="1" showErrorMessage="1" xr:uid="{9B15B149-4D0D-4DC8-8ACC-384BAC7C3AB5}">
          <x14:formula1>
            <xm:f>Hoja2!$E$2:$E$21</xm:f>
          </x14:formula1>
          <xm:sqref>C7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7A55-2F7C-4DC1-992C-DAF8F15B282F}">
  <sheetPr codeName="Hoja7"/>
  <dimension ref="B2:E21"/>
  <sheetViews>
    <sheetView workbookViewId="0">
      <selection activeCell="D5" sqref="D5"/>
    </sheetView>
  </sheetViews>
  <sheetFormatPr baseColWidth="10" defaultRowHeight="14.4" x14ac:dyDescent="0.3"/>
  <sheetData>
    <row r="2" spans="2:5" ht="16.8" x14ac:dyDescent="0.4">
      <c r="B2" s="69" t="s">
        <v>61</v>
      </c>
      <c r="E2" s="69" t="s">
        <v>70</v>
      </c>
    </row>
    <row r="3" spans="2:5" ht="16.8" x14ac:dyDescent="0.4">
      <c r="B3" s="69" t="s">
        <v>71</v>
      </c>
      <c r="E3" s="69" t="s">
        <v>96</v>
      </c>
    </row>
    <row r="4" spans="2:5" ht="16.8" x14ac:dyDescent="0.4">
      <c r="B4" s="69" t="s">
        <v>66</v>
      </c>
      <c r="E4" s="69" t="s">
        <v>74</v>
      </c>
    </row>
    <row r="5" spans="2:5" ht="16.8" x14ac:dyDescent="0.4">
      <c r="B5" s="69" t="s">
        <v>78</v>
      </c>
      <c r="E5" s="69" t="s">
        <v>134</v>
      </c>
    </row>
    <row r="6" spans="2:5" ht="16.8" x14ac:dyDescent="0.4">
      <c r="B6" s="69" t="s">
        <v>82</v>
      </c>
      <c r="E6" s="69" t="s">
        <v>60</v>
      </c>
    </row>
    <row r="7" spans="2:5" ht="16.8" x14ac:dyDescent="0.4">
      <c r="B7" s="69" t="s">
        <v>75</v>
      </c>
      <c r="E7" s="69" t="s">
        <v>137</v>
      </c>
    </row>
    <row r="8" spans="2:5" ht="16.8" x14ac:dyDescent="0.4">
      <c r="E8" s="69" t="s">
        <v>145</v>
      </c>
    </row>
    <row r="9" spans="2:5" ht="16.8" x14ac:dyDescent="0.4">
      <c r="E9" s="69" t="s">
        <v>81</v>
      </c>
    </row>
    <row r="10" spans="2:5" ht="16.8" x14ac:dyDescent="0.4">
      <c r="E10" s="69" t="s">
        <v>85</v>
      </c>
    </row>
    <row r="11" spans="2:5" ht="16.8" x14ac:dyDescent="0.4">
      <c r="E11" s="69" t="s">
        <v>121</v>
      </c>
    </row>
    <row r="12" spans="2:5" ht="16.8" x14ac:dyDescent="0.4">
      <c r="E12" s="69" t="s">
        <v>65</v>
      </c>
    </row>
    <row r="13" spans="2:5" ht="16.8" x14ac:dyDescent="0.4">
      <c r="E13" s="69" t="s">
        <v>108</v>
      </c>
    </row>
    <row r="14" spans="2:5" ht="16.8" x14ac:dyDescent="0.4">
      <c r="E14" s="69" t="s">
        <v>142</v>
      </c>
    </row>
    <row r="15" spans="2:5" ht="16.8" x14ac:dyDescent="0.4">
      <c r="E15" s="69" t="s">
        <v>93</v>
      </c>
    </row>
    <row r="16" spans="2:5" ht="16.8" x14ac:dyDescent="0.4">
      <c r="E16" s="69" t="s">
        <v>101</v>
      </c>
    </row>
    <row r="17" spans="5:5" ht="16.8" x14ac:dyDescent="0.4">
      <c r="E17" s="69" t="s">
        <v>164</v>
      </c>
    </row>
    <row r="18" spans="5:5" ht="16.8" x14ac:dyDescent="0.4">
      <c r="E18" s="69" t="s">
        <v>283</v>
      </c>
    </row>
    <row r="19" spans="5:5" ht="16.8" x14ac:dyDescent="0.4">
      <c r="E19" s="69" t="s">
        <v>111</v>
      </c>
    </row>
    <row r="20" spans="5:5" ht="16.8" x14ac:dyDescent="0.4">
      <c r="E20" s="69" t="s">
        <v>118</v>
      </c>
    </row>
    <row r="21" spans="5:5" ht="16.8" x14ac:dyDescent="0.4">
      <c r="E21" s="69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693A-3F02-4D5C-AE1D-BE8E6D9653C2}">
  <sheetPr codeName="Hoja6"/>
  <dimension ref="A2:N1000"/>
  <sheetViews>
    <sheetView topLeftCell="L1" zoomScale="40" zoomScaleNormal="40" workbookViewId="0">
      <selection activeCell="L7" sqref="L7"/>
    </sheetView>
  </sheetViews>
  <sheetFormatPr baseColWidth="10" defaultColWidth="14.44140625" defaultRowHeight="15" customHeight="1" x14ac:dyDescent="0.3"/>
  <cols>
    <col min="1" max="1" width="11.5546875" style="34" customWidth="1"/>
    <col min="2" max="2" width="8.5546875" style="34" customWidth="1"/>
    <col min="3" max="3" width="12" style="34" customWidth="1"/>
    <col min="4" max="4" width="11.88671875" style="34" customWidth="1"/>
    <col min="5" max="5" width="9.6640625" style="34" customWidth="1"/>
    <col min="6" max="6" width="6.5546875" style="34" customWidth="1"/>
    <col min="7" max="7" width="10.6640625" style="34" customWidth="1"/>
    <col min="8" max="11" width="14.44140625" style="34"/>
    <col min="12" max="12" width="17.44140625" style="34" bestFit="1" customWidth="1"/>
    <col min="13" max="13" width="15.109375" style="34" bestFit="1" customWidth="1"/>
    <col min="14" max="16384" width="14.44140625" style="34"/>
  </cols>
  <sheetData>
    <row r="2" spans="1:14" ht="12.75" customHeight="1" x14ac:dyDescent="0.3"/>
    <row r="3" spans="1:14" ht="12.75" customHeight="1" x14ac:dyDescent="0.3">
      <c r="A3" s="35" t="s">
        <v>316</v>
      </c>
      <c r="B3" s="35" t="s">
        <v>317</v>
      </c>
      <c r="C3" s="35" t="s">
        <v>318</v>
      </c>
      <c r="D3" s="35" t="s">
        <v>319</v>
      </c>
      <c r="E3" s="35" t="s">
        <v>320</v>
      </c>
      <c r="F3" s="35" t="s">
        <v>321</v>
      </c>
      <c r="G3" s="35" t="s">
        <v>322</v>
      </c>
    </row>
    <row r="4" spans="1:14" ht="12.75" customHeight="1" x14ac:dyDescent="0.3">
      <c r="A4" s="36" t="s">
        <v>323</v>
      </c>
      <c r="B4" s="36" t="s">
        <v>324</v>
      </c>
      <c r="C4" s="36" t="s">
        <v>325</v>
      </c>
      <c r="D4" s="36" t="s">
        <v>326</v>
      </c>
      <c r="E4" s="36" t="s">
        <v>327</v>
      </c>
      <c r="F4" s="36" t="s">
        <v>328</v>
      </c>
      <c r="G4" s="36">
        <v>713472</v>
      </c>
    </row>
    <row r="5" spans="1:14" ht="14.4" x14ac:dyDescent="0.3">
      <c r="A5" s="36" t="s">
        <v>329</v>
      </c>
      <c r="B5" s="36" t="s">
        <v>330</v>
      </c>
      <c r="C5" s="36" t="s">
        <v>331</v>
      </c>
      <c r="D5" s="36" t="s">
        <v>332</v>
      </c>
      <c r="E5" s="36" t="s">
        <v>333</v>
      </c>
      <c r="F5" s="36" t="s">
        <v>328</v>
      </c>
      <c r="G5" s="36">
        <v>722278</v>
      </c>
      <c r="L5" s="57" t="s">
        <v>364</v>
      </c>
      <c r="M5" s="58" t="s">
        <v>366</v>
      </c>
      <c r="N5"/>
    </row>
    <row r="6" spans="1:14" ht="14.4" x14ac:dyDescent="0.3">
      <c r="A6" s="36" t="s">
        <v>334</v>
      </c>
      <c r="B6" s="36" t="s">
        <v>330</v>
      </c>
      <c r="C6" s="36" t="s">
        <v>325</v>
      </c>
      <c r="D6" s="36" t="s">
        <v>326</v>
      </c>
      <c r="E6" s="36" t="s">
        <v>327</v>
      </c>
      <c r="F6" s="36" t="s">
        <v>335</v>
      </c>
      <c r="G6" s="36">
        <v>704751</v>
      </c>
      <c r="L6" s="59" t="s">
        <v>334</v>
      </c>
      <c r="M6" s="66">
        <v>1492167</v>
      </c>
      <c r="N6"/>
    </row>
    <row r="7" spans="1:14" ht="14.4" x14ac:dyDescent="0.3">
      <c r="A7" s="36" t="s">
        <v>329</v>
      </c>
      <c r="B7" s="36" t="s">
        <v>324</v>
      </c>
      <c r="C7" s="36" t="s">
        <v>331</v>
      </c>
      <c r="D7" s="36" t="s">
        <v>332</v>
      </c>
      <c r="E7" s="36" t="s">
        <v>333</v>
      </c>
      <c r="F7" s="36" t="s">
        <v>336</v>
      </c>
      <c r="G7" s="36">
        <v>575546</v>
      </c>
      <c r="L7" s="60" t="s">
        <v>330</v>
      </c>
      <c r="M7" s="67">
        <v>1276223</v>
      </c>
      <c r="N7"/>
    </row>
    <row r="8" spans="1:14" ht="14.4" x14ac:dyDescent="0.3">
      <c r="A8" s="36" t="s">
        <v>334</v>
      </c>
      <c r="B8" s="36" t="s">
        <v>337</v>
      </c>
      <c r="C8" s="36" t="s">
        <v>325</v>
      </c>
      <c r="D8" s="36" t="s">
        <v>326</v>
      </c>
      <c r="E8" s="36" t="s">
        <v>333</v>
      </c>
      <c r="F8" s="36" t="s">
        <v>336</v>
      </c>
      <c r="G8" s="36">
        <v>657027</v>
      </c>
      <c r="L8" s="61" t="s">
        <v>325</v>
      </c>
      <c r="M8" s="67">
        <v>1107456</v>
      </c>
      <c r="N8"/>
    </row>
    <row r="9" spans="1:14" ht="14.4" x14ac:dyDescent="0.3">
      <c r="A9" s="36" t="s">
        <v>329</v>
      </c>
      <c r="B9" s="36" t="s">
        <v>337</v>
      </c>
      <c r="C9" s="36" t="s">
        <v>325</v>
      </c>
      <c r="D9" s="36" t="s">
        <v>326</v>
      </c>
      <c r="E9" s="36" t="s">
        <v>338</v>
      </c>
      <c r="F9" s="36" t="s">
        <v>336</v>
      </c>
      <c r="G9" s="36">
        <v>878209</v>
      </c>
      <c r="L9" s="63" t="s">
        <v>326</v>
      </c>
      <c r="M9" s="66">
        <v>912747</v>
      </c>
      <c r="N9"/>
    </row>
    <row r="10" spans="1:14" ht="14.4" x14ac:dyDescent="0.3">
      <c r="A10" s="36" t="s">
        <v>334</v>
      </c>
      <c r="B10" s="36" t="s">
        <v>330</v>
      </c>
      <c r="C10" s="36" t="s">
        <v>325</v>
      </c>
      <c r="D10" s="36" t="s">
        <v>332</v>
      </c>
      <c r="E10" s="36" t="s">
        <v>333</v>
      </c>
      <c r="F10" s="36" t="s">
        <v>328</v>
      </c>
      <c r="G10" s="36">
        <v>1107456</v>
      </c>
      <c r="L10" s="63" t="s">
        <v>339</v>
      </c>
      <c r="M10" s="66">
        <v>505326</v>
      </c>
      <c r="N10"/>
    </row>
    <row r="11" spans="1:14" ht="14.4" x14ac:dyDescent="0.3">
      <c r="A11" s="36" t="s">
        <v>329</v>
      </c>
      <c r="B11" s="36" t="s">
        <v>330</v>
      </c>
      <c r="C11" s="36" t="s">
        <v>325</v>
      </c>
      <c r="D11" s="36" t="s">
        <v>339</v>
      </c>
      <c r="E11" s="36" t="s">
        <v>338</v>
      </c>
      <c r="F11" s="36" t="s">
        <v>328</v>
      </c>
      <c r="G11" s="36">
        <v>545892</v>
      </c>
      <c r="L11" s="63" t="s">
        <v>332</v>
      </c>
      <c r="M11" s="66">
        <v>1107456</v>
      </c>
      <c r="N11"/>
    </row>
    <row r="12" spans="1:14" ht="14.4" x14ac:dyDescent="0.3">
      <c r="A12" s="36" t="s">
        <v>323</v>
      </c>
      <c r="B12" s="36" t="s">
        <v>324</v>
      </c>
      <c r="C12" s="36" t="s">
        <v>325</v>
      </c>
      <c r="D12" s="36" t="s">
        <v>326</v>
      </c>
      <c r="E12" s="36" t="s">
        <v>333</v>
      </c>
      <c r="F12" s="36" t="s">
        <v>336</v>
      </c>
      <c r="G12" s="36">
        <v>1417146</v>
      </c>
      <c r="L12" s="64" t="s">
        <v>340</v>
      </c>
      <c r="M12" s="66">
        <v>1263487</v>
      </c>
      <c r="N12"/>
    </row>
    <row r="13" spans="1:14" ht="14.4" x14ac:dyDescent="0.3">
      <c r="A13" s="36" t="s">
        <v>323</v>
      </c>
      <c r="B13" s="36" t="s">
        <v>337</v>
      </c>
      <c r="C13" s="36" t="s">
        <v>325</v>
      </c>
      <c r="D13" s="36" t="s">
        <v>326</v>
      </c>
      <c r="E13" s="36" t="s">
        <v>327</v>
      </c>
      <c r="F13" s="36" t="s">
        <v>335</v>
      </c>
      <c r="G13" s="36">
        <v>1010736</v>
      </c>
      <c r="L13" s="63" t="s">
        <v>326</v>
      </c>
      <c r="M13" s="66">
        <v>548567</v>
      </c>
      <c r="N13"/>
    </row>
    <row r="14" spans="1:14" ht="14.4" x14ac:dyDescent="0.3">
      <c r="A14" s="36" t="s">
        <v>329</v>
      </c>
      <c r="B14" s="36" t="s">
        <v>330</v>
      </c>
      <c r="C14" s="36" t="s">
        <v>325</v>
      </c>
      <c r="D14" s="36" t="s">
        <v>326</v>
      </c>
      <c r="E14" s="36" t="s">
        <v>333</v>
      </c>
      <c r="F14" s="36" t="s">
        <v>335</v>
      </c>
      <c r="G14" s="36">
        <v>657667</v>
      </c>
      <c r="L14" s="63" t="s">
        <v>339</v>
      </c>
      <c r="M14" s="66">
        <v>1263487</v>
      </c>
      <c r="N14"/>
    </row>
    <row r="15" spans="1:14" ht="14.4" x14ac:dyDescent="0.3">
      <c r="A15" s="36" t="s">
        <v>323</v>
      </c>
      <c r="B15" s="36" t="s">
        <v>337</v>
      </c>
      <c r="C15" s="36" t="s">
        <v>340</v>
      </c>
      <c r="D15" s="36" t="s">
        <v>332</v>
      </c>
      <c r="E15" s="36" t="s">
        <v>327</v>
      </c>
      <c r="F15" s="36" t="s">
        <v>335</v>
      </c>
      <c r="G15" s="36">
        <v>1164574</v>
      </c>
      <c r="L15" s="63" t="s">
        <v>332</v>
      </c>
      <c r="M15" s="66">
        <v>795035</v>
      </c>
      <c r="N15"/>
    </row>
    <row r="16" spans="1:14" ht="14.4" x14ac:dyDescent="0.3">
      <c r="A16" s="36" t="s">
        <v>329</v>
      </c>
      <c r="B16" s="36" t="s">
        <v>337</v>
      </c>
      <c r="C16" s="36" t="s">
        <v>325</v>
      </c>
      <c r="D16" s="36" t="s">
        <v>326</v>
      </c>
      <c r="E16" s="36" t="s">
        <v>327</v>
      </c>
      <c r="F16" s="36" t="s">
        <v>336</v>
      </c>
      <c r="G16" s="36">
        <v>1493440</v>
      </c>
      <c r="L16" s="64" t="s">
        <v>331</v>
      </c>
      <c r="M16" s="66">
        <v>1276223</v>
      </c>
      <c r="N16"/>
    </row>
    <row r="17" spans="1:14" ht="14.4" x14ac:dyDescent="0.3">
      <c r="A17" s="36" t="s">
        <v>329</v>
      </c>
      <c r="B17" s="36" t="s">
        <v>324</v>
      </c>
      <c r="C17" s="36" t="s">
        <v>340</v>
      </c>
      <c r="D17" s="36" t="s">
        <v>339</v>
      </c>
      <c r="E17" s="36" t="s">
        <v>327</v>
      </c>
      <c r="F17" s="36" t="s">
        <v>336</v>
      </c>
      <c r="G17" s="36">
        <v>1293196</v>
      </c>
      <c r="L17" s="63" t="s">
        <v>326</v>
      </c>
      <c r="M17" s="66">
        <v>1276223</v>
      </c>
      <c r="N17"/>
    </row>
    <row r="18" spans="1:14" ht="14.4" x14ac:dyDescent="0.3">
      <c r="A18" s="36" t="s">
        <v>329</v>
      </c>
      <c r="B18" s="36" t="s">
        <v>330</v>
      </c>
      <c r="C18" s="36" t="s">
        <v>331</v>
      </c>
      <c r="D18" s="36" t="s">
        <v>339</v>
      </c>
      <c r="E18" s="36" t="s">
        <v>327</v>
      </c>
      <c r="F18" s="36" t="s">
        <v>328</v>
      </c>
      <c r="G18" s="36">
        <v>698144</v>
      </c>
      <c r="L18" s="63" t="s">
        <v>339</v>
      </c>
      <c r="M18" s="66">
        <v>691201</v>
      </c>
      <c r="N18"/>
    </row>
    <row r="19" spans="1:14" ht="14.4" x14ac:dyDescent="0.3">
      <c r="A19" s="36" t="s">
        <v>334</v>
      </c>
      <c r="B19" s="36" t="s">
        <v>330</v>
      </c>
      <c r="C19" s="36" t="s">
        <v>331</v>
      </c>
      <c r="D19" s="36" t="s">
        <v>339</v>
      </c>
      <c r="E19" s="36" t="s">
        <v>333</v>
      </c>
      <c r="F19" s="36" t="s">
        <v>336</v>
      </c>
      <c r="G19" s="36">
        <v>691201</v>
      </c>
      <c r="L19" s="63" t="s">
        <v>332</v>
      </c>
      <c r="M19" s="66">
        <v>1120730</v>
      </c>
      <c r="N19"/>
    </row>
    <row r="20" spans="1:14" ht="14.4" x14ac:dyDescent="0.3">
      <c r="A20" s="36" t="s">
        <v>329</v>
      </c>
      <c r="B20" s="36" t="s">
        <v>324</v>
      </c>
      <c r="C20" s="36" t="s">
        <v>340</v>
      </c>
      <c r="D20" s="36" t="s">
        <v>339</v>
      </c>
      <c r="E20" s="36" t="s">
        <v>333</v>
      </c>
      <c r="F20" s="36" t="s">
        <v>335</v>
      </c>
      <c r="G20" s="36">
        <v>1498688</v>
      </c>
      <c r="L20" s="65" t="s">
        <v>324</v>
      </c>
      <c r="M20" s="66">
        <v>1492167</v>
      </c>
      <c r="N20"/>
    </row>
    <row r="21" spans="1:14" ht="14.4" x14ac:dyDescent="0.3">
      <c r="A21" s="36" t="s">
        <v>329</v>
      </c>
      <c r="B21" s="36" t="s">
        <v>337</v>
      </c>
      <c r="C21" s="36" t="s">
        <v>331</v>
      </c>
      <c r="D21" s="36" t="s">
        <v>332</v>
      </c>
      <c r="E21" s="36" t="s">
        <v>333</v>
      </c>
      <c r="F21" s="36" t="s">
        <v>335</v>
      </c>
      <c r="G21" s="36">
        <v>828206</v>
      </c>
      <c r="L21" s="61" t="s">
        <v>325</v>
      </c>
      <c r="M21" s="67">
        <v>1394088</v>
      </c>
      <c r="N21"/>
    </row>
    <row r="22" spans="1:14" ht="14.4" x14ac:dyDescent="0.3">
      <c r="A22" s="36" t="s">
        <v>329</v>
      </c>
      <c r="B22" s="36" t="s">
        <v>330</v>
      </c>
      <c r="C22" s="36" t="s">
        <v>331</v>
      </c>
      <c r="D22" s="36" t="s">
        <v>339</v>
      </c>
      <c r="E22" s="36" t="s">
        <v>338</v>
      </c>
      <c r="F22" s="36" t="s">
        <v>335</v>
      </c>
      <c r="G22" s="36">
        <v>1031693</v>
      </c>
      <c r="L22" s="63" t="s">
        <v>326</v>
      </c>
      <c r="M22" s="66">
        <v>1394088</v>
      </c>
      <c r="N22"/>
    </row>
    <row r="23" spans="1:14" ht="14.4" x14ac:dyDescent="0.3">
      <c r="A23" s="36" t="s">
        <v>329</v>
      </c>
      <c r="B23" s="36" t="s">
        <v>337</v>
      </c>
      <c r="C23" s="36" t="s">
        <v>340</v>
      </c>
      <c r="D23" s="36" t="s">
        <v>339</v>
      </c>
      <c r="E23" s="36" t="s">
        <v>327</v>
      </c>
      <c r="F23" s="36" t="s">
        <v>335</v>
      </c>
      <c r="G23" s="36">
        <v>1477925</v>
      </c>
      <c r="L23" s="63" t="s">
        <v>339</v>
      </c>
      <c r="M23" s="66">
        <v>1294037</v>
      </c>
    </row>
    <row r="24" spans="1:14" ht="14.4" x14ac:dyDescent="0.3">
      <c r="A24" s="36" t="s">
        <v>329</v>
      </c>
      <c r="B24" s="36" t="s">
        <v>337</v>
      </c>
      <c r="C24" s="36" t="s">
        <v>331</v>
      </c>
      <c r="D24" s="36" t="s">
        <v>339</v>
      </c>
      <c r="E24" s="36" t="s">
        <v>338</v>
      </c>
      <c r="F24" s="36" t="s">
        <v>335</v>
      </c>
      <c r="G24" s="36">
        <v>917037</v>
      </c>
      <c r="L24" s="63" t="s">
        <v>332</v>
      </c>
      <c r="M24" s="66">
        <v>1214725</v>
      </c>
    </row>
    <row r="25" spans="1:14" ht="14.4" x14ac:dyDescent="0.3">
      <c r="A25" s="36" t="s">
        <v>323</v>
      </c>
      <c r="B25" s="36" t="s">
        <v>337</v>
      </c>
      <c r="C25" s="36" t="s">
        <v>340</v>
      </c>
      <c r="D25" s="36" t="s">
        <v>339</v>
      </c>
      <c r="E25" s="36" t="s">
        <v>327</v>
      </c>
      <c r="F25" s="36" t="s">
        <v>335</v>
      </c>
      <c r="G25" s="36">
        <v>1434585</v>
      </c>
      <c r="L25" s="64" t="s">
        <v>340</v>
      </c>
      <c r="M25" s="66">
        <v>1492167</v>
      </c>
    </row>
    <row r="26" spans="1:14" ht="14.4" x14ac:dyDescent="0.3">
      <c r="A26" s="36" t="s">
        <v>334</v>
      </c>
      <c r="B26" s="36" t="s">
        <v>330</v>
      </c>
      <c r="C26" s="36" t="s">
        <v>331</v>
      </c>
      <c r="D26" s="36" t="s">
        <v>326</v>
      </c>
      <c r="E26" s="36" t="s">
        <v>333</v>
      </c>
      <c r="F26" s="36" t="s">
        <v>335</v>
      </c>
      <c r="G26" s="36">
        <v>1276223</v>
      </c>
      <c r="L26" s="63" t="s">
        <v>326</v>
      </c>
      <c r="M26" s="66">
        <v>1492167</v>
      </c>
    </row>
    <row r="27" spans="1:14" ht="14.4" x14ac:dyDescent="0.3">
      <c r="A27" s="36" t="s">
        <v>323</v>
      </c>
      <c r="B27" s="36" t="s">
        <v>324</v>
      </c>
      <c r="C27" s="36" t="s">
        <v>340</v>
      </c>
      <c r="D27" s="36" t="s">
        <v>339</v>
      </c>
      <c r="E27" s="36" t="s">
        <v>333</v>
      </c>
      <c r="F27" s="36" t="s">
        <v>335</v>
      </c>
      <c r="G27" s="36">
        <v>1002085</v>
      </c>
      <c r="L27" s="63" t="s">
        <v>339</v>
      </c>
      <c r="M27" s="66">
        <v>970345</v>
      </c>
    </row>
    <row r="28" spans="1:14" ht="14.4" x14ac:dyDescent="0.3">
      <c r="A28" s="36" t="s">
        <v>323</v>
      </c>
      <c r="B28" s="36" t="s">
        <v>337</v>
      </c>
      <c r="C28" s="36" t="s">
        <v>340</v>
      </c>
      <c r="D28" s="36" t="s">
        <v>332</v>
      </c>
      <c r="E28" s="36" t="s">
        <v>338</v>
      </c>
      <c r="F28" s="36" t="s">
        <v>335</v>
      </c>
      <c r="G28" s="36">
        <v>694195</v>
      </c>
      <c r="L28" s="63" t="s">
        <v>332</v>
      </c>
      <c r="M28" s="66">
        <v>899768</v>
      </c>
    </row>
    <row r="29" spans="1:14" ht="14.4" x14ac:dyDescent="0.3">
      <c r="A29" s="36" t="s">
        <v>329</v>
      </c>
      <c r="B29" s="36" t="s">
        <v>330</v>
      </c>
      <c r="C29" s="36" t="s">
        <v>331</v>
      </c>
      <c r="D29" s="36" t="s">
        <v>326</v>
      </c>
      <c r="E29" s="36" t="s">
        <v>338</v>
      </c>
      <c r="F29" s="36" t="s">
        <v>336</v>
      </c>
      <c r="G29" s="36">
        <v>906655</v>
      </c>
      <c r="L29" s="64" t="s">
        <v>331</v>
      </c>
      <c r="M29" s="66">
        <v>1190102</v>
      </c>
    </row>
    <row r="30" spans="1:14" ht="14.4" x14ac:dyDescent="0.3">
      <c r="A30" s="36" t="s">
        <v>329</v>
      </c>
      <c r="B30" s="36" t="s">
        <v>324</v>
      </c>
      <c r="C30" s="36" t="s">
        <v>331</v>
      </c>
      <c r="D30" s="36" t="s">
        <v>332</v>
      </c>
      <c r="E30" s="36" t="s">
        <v>333</v>
      </c>
      <c r="F30" s="36" t="s">
        <v>335</v>
      </c>
      <c r="G30" s="36">
        <v>1473816</v>
      </c>
      <c r="L30" s="63" t="s">
        <v>326</v>
      </c>
      <c r="M30" s="66">
        <v>1033788</v>
      </c>
    </row>
    <row r="31" spans="1:14" ht="14.4" x14ac:dyDescent="0.3">
      <c r="A31" s="36" t="s">
        <v>323</v>
      </c>
      <c r="B31" s="36" t="s">
        <v>330</v>
      </c>
      <c r="C31" s="36" t="s">
        <v>325</v>
      </c>
      <c r="D31" s="36" t="s">
        <v>332</v>
      </c>
      <c r="E31" s="36" t="s">
        <v>338</v>
      </c>
      <c r="F31" s="36" t="s">
        <v>335</v>
      </c>
      <c r="G31" s="36">
        <v>562945</v>
      </c>
      <c r="L31" s="63" t="s">
        <v>339</v>
      </c>
      <c r="M31" s="66">
        <v>1190102</v>
      </c>
    </row>
    <row r="32" spans="1:14" ht="14.4" x14ac:dyDescent="0.3">
      <c r="A32" s="36" t="s">
        <v>334</v>
      </c>
      <c r="B32" s="36" t="s">
        <v>324</v>
      </c>
      <c r="C32" s="36" t="s">
        <v>340</v>
      </c>
      <c r="D32" s="36" t="s">
        <v>332</v>
      </c>
      <c r="E32" s="36" t="s">
        <v>338</v>
      </c>
      <c r="F32" s="36" t="s">
        <v>328</v>
      </c>
      <c r="G32" s="36">
        <v>899768</v>
      </c>
      <c r="L32" s="63" t="s">
        <v>332</v>
      </c>
      <c r="M32" s="66">
        <v>1079581</v>
      </c>
    </row>
    <row r="33" spans="1:13" ht="14.4" x14ac:dyDescent="0.3">
      <c r="A33" s="36" t="s">
        <v>323</v>
      </c>
      <c r="B33" s="36" t="s">
        <v>337</v>
      </c>
      <c r="C33" s="36" t="s">
        <v>340</v>
      </c>
      <c r="D33" s="36" t="s">
        <v>332</v>
      </c>
      <c r="E33" s="36" t="s">
        <v>338</v>
      </c>
      <c r="F33" s="36" t="s">
        <v>335</v>
      </c>
      <c r="G33" s="36">
        <v>838361</v>
      </c>
      <c r="L33" s="65" t="s">
        <v>337</v>
      </c>
      <c r="M33" s="66">
        <v>1478306</v>
      </c>
    </row>
    <row r="34" spans="1:13" ht="14.4" x14ac:dyDescent="0.3">
      <c r="A34" s="36" t="s">
        <v>323</v>
      </c>
      <c r="B34" s="36" t="s">
        <v>337</v>
      </c>
      <c r="C34" s="36" t="s">
        <v>325</v>
      </c>
      <c r="D34" s="36" t="s">
        <v>339</v>
      </c>
      <c r="E34" s="36" t="s">
        <v>327</v>
      </c>
      <c r="F34" s="36" t="s">
        <v>336</v>
      </c>
      <c r="G34" s="36">
        <v>759444</v>
      </c>
      <c r="L34" s="61" t="s">
        <v>325</v>
      </c>
      <c r="M34" s="67">
        <v>1467094</v>
      </c>
    </row>
    <row r="35" spans="1:13" ht="14.4" x14ac:dyDescent="0.3">
      <c r="A35" s="36" t="s">
        <v>334</v>
      </c>
      <c r="B35" s="36" t="s">
        <v>337</v>
      </c>
      <c r="C35" s="36" t="s">
        <v>325</v>
      </c>
      <c r="D35" s="36" t="s">
        <v>332</v>
      </c>
      <c r="E35" s="36" t="s">
        <v>327</v>
      </c>
      <c r="F35" s="36" t="s">
        <v>328</v>
      </c>
      <c r="G35" s="36">
        <v>717215</v>
      </c>
      <c r="L35" s="63" t="s">
        <v>326</v>
      </c>
      <c r="M35" s="66">
        <v>1208406</v>
      </c>
    </row>
    <row r="36" spans="1:13" ht="14.4" x14ac:dyDescent="0.3">
      <c r="A36" s="36" t="s">
        <v>329</v>
      </c>
      <c r="B36" s="36" t="s">
        <v>330</v>
      </c>
      <c r="C36" s="36" t="s">
        <v>325</v>
      </c>
      <c r="D36" s="36" t="s">
        <v>332</v>
      </c>
      <c r="E36" s="36" t="s">
        <v>338</v>
      </c>
      <c r="F36" s="36" t="s">
        <v>336</v>
      </c>
      <c r="G36" s="36">
        <v>981447</v>
      </c>
      <c r="L36" s="63" t="s">
        <v>339</v>
      </c>
      <c r="M36" s="66">
        <v>1085908</v>
      </c>
    </row>
    <row r="37" spans="1:13" ht="14.4" x14ac:dyDescent="0.3">
      <c r="A37" s="36" t="s">
        <v>329</v>
      </c>
      <c r="B37" s="36" t="s">
        <v>324</v>
      </c>
      <c r="C37" s="36" t="s">
        <v>340</v>
      </c>
      <c r="D37" s="36" t="s">
        <v>332</v>
      </c>
      <c r="E37" s="36" t="s">
        <v>333</v>
      </c>
      <c r="F37" s="36" t="s">
        <v>335</v>
      </c>
      <c r="G37" s="36">
        <v>1006809</v>
      </c>
      <c r="L37" s="63" t="s">
        <v>332</v>
      </c>
      <c r="M37" s="66">
        <v>1467094</v>
      </c>
    </row>
    <row r="38" spans="1:13" ht="14.4" x14ac:dyDescent="0.3">
      <c r="A38" s="36" t="s">
        <v>334</v>
      </c>
      <c r="B38" s="36" t="s">
        <v>337</v>
      </c>
      <c r="C38" s="36" t="s">
        <v>325</v>
      </c>
      <c r="D38" s="36" t="s">
        <v>339</v>
      </c>
      <c r="E38" s="36" t="s">
        <v>333</v>
      </c>
      <c r="F38" s="36" t="s">
        <v>336</v>
      </c>
      <c r="G38" s="36">
        <v>1085908</v>
      </c>
      <c r="L38" s="64" t="s">
        <v>340</v>
      </c>
      <c r="M38" s="66">
        <v>1478306</v>
      </c>
    </row>
    <row r="39" spans="1:13" ht="14.4" x14ac:dyDescent="0.3">
      <c r="A39" s="36" t="s">
        <v>334</v>
      </c>
      <c r="B39" s="36" t="s">
        <v>337</v>
      </c>
      <c r="C39" s="36" t="s">
        <v>340</v>
      </c>
      <c r="D39" s="36" t="s">
        <v>339</v>
      </c>
      <c r="E39" s="36" t="s">
        <v>338</v>
      </c>
      <c r="F39" s="36" t="s">
        <v>328</v>
      </c>
      <c r="G39" s="36">
        <v>922904</v>
      </c>
      <c r="L39" s="63" t="s">
        <v>326</v>
      </c>
      <c r="M39" s="66">
        <v>1345763</v>
      </c>
    </row>
    <row r="40" spans="1:13" ht="14.4" x14ac:dyDescent="0.3">
      <c r="A40" s="36" t="s">
        <v>323</v>
      </c>
      <c r="B40" s="36" t="s">
        <v>330</v>
      </c>
      <c r="C40" s="36" t="s">
        <v>340</v>
      </c>
      <c r="D40" s="36" t="s">
        <v>332</v>
      </c>
      <c r="E40" s="36" t="s">
        <v>338</v>
      </c>
      <c r="F40" s="36" t="s">
        <v>335</v>
      </c>
      <c r="G40" s="36">
        <v>1051840</v>
      </c>
      <c r="L40" s="63" t="s">
        <v>339</v>
      </c>
      <c r="M40" s="66">
        <v>1478306</v>
      </c>
    </row>
    <row r="41" spans="1:13" ht="14.4" x14ac:dyDescent="0.3">
      <c r="A41" s="36" t="s">
        <v>329</v>
      </c>
      <c r="B41" s="36" t="s">
        <v>330</v>
      </c>
      <c r="C41" s="36" t="s">
        <v>331</v>
      </c>
      <c r="D41" s="36" t="s">
        <v>332</v>
      </c>
      <c r="E41" s="36" t="s">
        <v>327</v>
      </c>
      <c r="F41" s="36" t="s">
        <v>328</v>
      </c>
      <c r="G41" s="36">
        <v>1336043</v>
      </c>
      <c r="L41" s="64" t="s">
        <v>331</v>
      </c>
      <c r="M41" s="66">
        <v>1250461</v>
      </c>
    </row>
    <row r="42" spans="1:13" ht="14.4" x14ac:dyDescent="0.3">
      <c r="A42" s="36" t="s">
        <v>334</v>
      </c>
      <c r="B42" s="36" t="s">
        <v>324</v>
      </c>
      <c r="C42" s="36" t="s">
        <v>340</v>
      </c>
      <c r="D42" s="36" t="s">
        <v>326</v>
      </c>
      <c r="E42" s="36" t="s">
        <v>333</v>
      </c>
      <c r="F42" s="36" t="s">
        <v>336</v>
      </c>
      <c r="G42" s="36">
        <v>1492167</v>
      </c>
      <c r="L42" s="63" t="s">
        <v>326</v>
      </c>
      <c r="M42" s="66">
        <v>1250461</v>
      </c>
    </row>
    <row r="43" spans="1:13" ht="14.4" x14ac:dyDescent="0.3">
      <c r="A43" s="36" t="s">
        <v>329</v>
      </c>
      <c r="B43" s="36" t="s">
        <v>337</v>
      </c>
      <c r="C43" s="36" t="s">
        <v>331</v>
      </c>
      <c r="D43" s="36" t="s">
        <v>332</v>
      </c>
      <c r="E43" s="36" t="s">
        <v>327</v>
      </c>
      <c r="F43" s="36" t="s">
        <v>335</v>
      </c>
      <c r="G43" s="36">
        <v>789942</v>
      </c>
      <c r="L43" s="63" t="s">
        <v>339</v>
      </c>
      <c r="M43" s="66">
        <v>848160</v>
      </c>
    </row>
    <row r="44" spans="1:13" ht="14.4" x14ac:dyDescent="0.3">
      <c r="A44" s="36" t="s">
        <v>334</v>
      </c>
      <c r="B44" s="36" t="s">
        <v>337</v>
      </c>
      <c r="C44" s="36" t="s">
        <v>325</v>
      </c>
      <c r="D44" s="36" t="s">
        <v>332</v>
      </c>
      <c r="E44" s="36" t="s">
        <v>338</v>
      </c>
      <c r="F44" s="36" t="s">
        <v>328</v>
      </c>
      <c r="G44" s="36">
        <v>1241480</v>
      </c>
      <c r="L44" s="63" t="s">
        <v>332</v>
      </c>
      <c r="M44" s="66">
        <v>1082288</v>
      </c>
    </row>
    <row r="45" spans="1:13" ht="14.4" x14ac:dyDescent="0.3">
      <c r="A45" s="36" t="s">
        <v>334</v>
      </c>
      <c r="B45" s="36" t="s">
        <v>330</v>
      </c>
      <c r="C45" s="36" t="s">
        <v>340</v>
      </c>
      <c r="D45" s="36" t="s">
        <v>332</v>
      </c>
      <c r="E45" s="36" t="s">
        <v>333</v>
      </c>
      <c r="F45" s="36" t="s">
        <v>328</v>
      </c>
      <c r="G45" s="36">
        <v>795035</v>
      </c>
      <c r="L45" s="59" t="s">
        <v>323</v>
      </c>
      <c r="M45" s="66">
        <v>1475627</v>
      </c>
    </row>
    <row r="46" spans="1:13" ht="14.4" x14ac:dyDescent="0.3">
      <c r="A46" s="36" t="s">
        <v>323</v>
      </c>
      <c r="B46" s="36" t="s">
        <v>330</v>
      </c>
      <c r="C46" s="36" t="s">
        <v>325</v>
      </c>
      <c r="D46" s="36" t="s">
        <v>339</v>
      </c>
      <c r="E46" s="36" t="s">
        <v>338</v>
      </c>
      <c r="F46" s="36" t="s">
        <v>328</v>
      </c>
      <c r="G46" s="36">
        <v>1257854</v>
      </c>
      <c r="L46" s="60" t="s">
        <v>330</v>
      </c>
      <c r="M46" s="67">
        <v>1416706</v>
      </c>
    </row>
    <row r="47" spans="1:13" ht="14.4" x14ac:dyDescent="0.3">
      <c r="A47" s="36" t="s">
        <v>323</v>
      </c>
      <c r="B47" s="36" t="s">
        <v>324</v>
      </c>
      <c r="C47" s="36" t="s">
        <v>325</v>
      </c>
      <c r="D47" s="36" t="s">
        <v>332</v>
      </c>
      <c r="E47" s="36" t="s">
        <v>338</v>
      </c>
      <c r="F47" s="36" t="s">
        <v>328</v>
      </c>
      <c r="G47" s="36">
        <v>602624</v>
      </c>
      <c r="L47" s="61" t="s">
        <v>325</v>
      </c>
      <c r="M47" s="67">
        <v>1257854</v>
      </c>
    </row>
    <row r="48" spans="1:13" ht="14.4" x14ac:dyDescent="0.3">
      <c r="A48" s="36" t="s">
        <v>323</v>
      </c>
      <c r="B48" s="36" t="s">
        <v>330</v>
      </c>
      <c r="C48" s="36" t="s">
        <v>325</v>
      </c>
      <c r="D48" s="36" t="s">
        <v>326</v>
      </c>
      <c r="E48" s="36" t="s">
        <v>333</v>
      </c>
      <c r="F48" s="36" t="s">
        <v>335</v>
      </c>
      <c r="G48" s="36">
        <v>586818</v>
      </c>
      <c r="L48" s="63" t="s">
        <v>326</v>
      </c>
      <c r="M48" s="66">
        <v>1089699</v>
      </c>
    </row>
    <row r="49" spans="1:13" ht="14.4" x14ac:dyDescent="0.3">
      <c r="A49" s="36" t="s">
        <v>323</v>
      </c>
      <c r="B49" s="36" t="s">
        <v>324</v>
      </c>
      <c r="C49" s="36" t="s">
        <v>340</v>
      </c>
      <c r="D49" s="36" t="s">
        <v>326</v>
      </c>
      <c r="E49" s="36" t="s">
        <v>338</v>
      </c>
      <c r="F49" s="36" t="s">
        <v>336</v>
      </c>
      <c r="G49" s="36">
        <v>1359324</v>
      </c>
      <c r="L49" s="63" t="s">
        <v>339</v>
      </c>
      <c r="M49" s="66">
        <v>1257854</v>
      </c>
    </row>
    <row r="50" spans="1:13" ht="14.4" x14ac:dyDescent="0.3">
      <c r="A50" s="36" t="s">
        <v>334</v>
      </c>
      <c r="B50" s="36" t="s">
        <v>337</v>
      </c>
      <c r="C50" s="36" t="s">
        <v>340</v>
      </c>
      <c r="D50" s="36" t="s">
        <v>326</v>
      </c>
      <c r="E50" s="36" t="s">
        <v>333</v>
      </c>
      <c r="F50" s="36" t="s">
        <v>335</v>
      </c>
      <c r="G50" s="36">
        <v>1137878</v>
      </c>
      <c r="L50" s="63" t="s">
        <v>332</v>
      </c>
      <c r="M50" s="66">
        <v>562945</v>
      </c>
    </row>
    <row r="51" spans="1:13" ht="14.4" x14ac:dyDescent="0.3">
      <c r="A51" s="36" t="s">
        <v>329</v>
      </c>
      <c r="B51" s="36" t="s">
        <v>337</v>
      </c>
      <c r="C51" s="36" t="s">
        <v>340</v>
      </c>
      <c r="D51" s="36" t="s">
        <v>332</v>
      </c>
      <c r="E51" s="36" t="s">
        <v>327</v>
      </c>
      <c r="F51" s="36" t="s">
        <v>328</v>
      </c>
      <c r="G51" s="36">
        <v>1319711</v>
      </c>
      <c r="L51" s="64" t="s">
        <v>340</v>
      </c>
      <c r="M51" s="66">
        <v>1058599</v>
      </c>
    </row>
    <row r="52" spans="1:13" ht="14.4" x14ac:dyDescent="0.3">
      <c r="A52" s="36" t="s">
        <v>329</v>
      </c>
      <c r="B52" s="36" t="s">
        <v>337</v>
      </c>
      <c r="C52" s="36" t="s">
        <v>325</v>
      </c>
      <c r="D52" s="36" t="s">
        <v>339</v>
      </c>
      <c r="E52" s="36" t="s">
        <v>333</v>
      </c>
      <c r="F52" s="36" t="s">
        <v>328</v>
      </c>
      <c r="G52" s="36">
        <v>1096349</v>
      </c>
      <c r="L52" s="63" t="s">
        <v>326</v>
      </c>
      <c r="M52" s="66">
        <v>1058599</v>
      </c>
    </row>
    <row r="53" spans="1:13" ht="14.4" x14ac:dyDescent="0.3">
      <c r="A53" s="36" t="s">
        <v>329</v>
      </c>
      <c r="B53" s="36" t="s">
        <v>330</v>
      </c>
      <c r="C53" s="36" t="s">
        <v>331</v>
      </c>
      <c r="D53" s="36" t="s">
        <v>332</v>
      </c>
      <c r="E53" s="36" t="s">
        <v>327</v>
      </c>
      <c r="F53" s="36" t="s">
        <v>328</v>
      </c>
      <c r="G53" s="36">
        <v>1455333</v>
      </c>
      <c r="L53" s="63" t="s">
        <v>332</v>
      </c>
      <c r="M53" s="66">
        <v>1051840</v>
      </c>
    </row>
    <row r="54" spans="1:13" ht="14.4" x14ac:dyDescent="0.3">
      <c r="A54" s="36" t="s">
        <v>323</v>
      </c>
      <c r="B54" s="36" t="s">
        <v>330</v>
      </c>
      <c r="C54" s="36" t="s">
        <v>325</v>
      </c>
      <c r="D54" s="36" t="s">
        <v>326</v>
      </c>
      <c r="E54" s="36" t="s">
        <v>327</v>
      </c>
      <c r="F54" s="36" t="s">
        <v>328</v>
      </c>
      <c r="G54" s="36">
        <v>1037004</v>
      </c>
      <c r="L54" s="64" t="s">
        <v>331</v>
      </c>
      <c r="M54" s="66">
        <v>1416706</v>
      </c>
    </row>
    <row r="55" spans="1:13" ht="14.4" x14ac:dyDescent="0.3">
      <c r="A55" s="36" t="s">
        <v>334</v>
      </c>
      <c r="B55" s="36" t="s">
        <v>337</v>
      </c>
      <c r="C55" s="36" t="s">
        <v>340</v>
      </c>
      <c r="D55" s="36" t="s">
        <v>326</v>
      </c>
      <c r="E55" s="36" t="s">
        <v>338</v>
      </c>
      <c r="F55" s="36" t="s">
        <v>328</v>
      </c>
      <c r="G55" s="36">
        <v>636681</v>
      </c>
      <c r="L55" s="63" t="s">
        <v>326</v>
      </c>
      <c r="M55" s="66">
        <v>1416706</v>
      </c>
    </row>
    <row r="56" spans="1:13" ht="14.4" x14ac:dyDescent="0.3">
      <c r="A56" s="36" t="s">
        <v>329</v>
      </c>
      <c r="B56" s="36" t="s">
        <v>337</v>
      </c>
      <c r="C56" s="36" t="s">
        <v>331</v>
      </c>
      <c r="D56" s="36" t="s">
        <v>332</v>
      </c>
      <c r="E56" s="36" t="s">
        <v>333</v>
      </c>
      <c r="F56" s="36" t="s">
        <v>336</v>
      </c>
      <c r="G56" s="36">
        <v>1061394</v>
      </c>
      <c r="L56" s="63" t="s">
        <v>339</v>
      </c>
      <c r="M56" s="66">
        <v>544607</v>
      </c>
    </row>
    <row r="57" spans="1:13" ht="14.4" x14ac:dyDescent="0.3">
      <c r="A57" s="36" t="s">
        <v>334</v>
      </c>
      <c r="B57" s="36" t="s">
        <v>337</v>
      </c>
      <c r="C57" s="36" t="s">
        <v>331</v>
      </c>
      <c r="D57" s="36" t="s">
        <v>326</v>
      </c>
      <c r="E57" s="36" t="s">
        <v>327</v>
      </c>
      <c r="F57" s="36" t="s">
        <v>336</v>
      </c>
      <c r="G57" s="36">
        <v>1163242</v>
      </c>
      <c r="L57" s="63" t="s">
        <v>332</v>
      </c>
      <c r="M57" s="66">
        <v>1025558</v>
      </c>
    </row>
    <row r="58" spans="1:13" ht="14.4" x14ac:dyDescent="0.3">
      <c r="A58" s="36" t="s">
        <v>323</v>
      </c>
      <c r="B58" s="36" t="s">
        <v>337</v>
      </c>
      <c r="C58" s="36" t="s">
        <v>340</v>
      </c>
      <c r="D58" s="36" t="s">
        <v>332</v>
      </c>
      <c r="E58" s="36" t="s">
        <v>338</v>
      </c>
      <c r="F58" s="36" t="s">
        <v>328</v>
      </c>
      <c r="G58" s="36">
        <v>1416240</v>
      </c>
      <c r="L58" s="65" t="s">
        <v>324</v>
      </c>
      <c r="M58" s="66">
        <v>1475627</v>
      </c>
    </row>
    <row r="59" spans="1:13" ht="14.4" x14ac:dyDescent="0.3">
      <c r="A59" s="36" t="s">
        <v>329</v>
      </c>
      <c r="B59" s="36" t="s">
        <v>330</v>
      </c>
      <c r="C59" s="36" t="s">
        <v>325</v>
      </c>
      <c r="D59" s="36" t="s">
        <v>332</v>
      </c>
      <c r="E59" s="36" t="s">
        <v>338</v>
      </c>
      <c r="F59" s="36" t="s">
        <v>335</v>
      </c>
      <c r="G59" s="36">
        <v>1110152</v>
      </c>
      <c r="L59" s="61" t="s">
        <v>325</v>
      </c>
      <c r="M59" s="67">
        <v>1417146</v>
      </c>
    </row>
    <row r="60" spans="1:13" ht="14.4" x14ac:dyDescent="0.3">
      <c r="A60" s="36" t="s">
        <v>329</v>
      </c>
      <c r="B60" s="36" t="s">
        <v>337</v>
      </c>
      <c r="C60" s="36" t="s">
        <v>340</v>
      </c>
      <c r="D60" s="36" t="s">
        <v>332</v>
      </c>
      <c r="E60" s="36" t="s">
        <v>327</v>
      </c>
      <c r="F60" s="36" t="s">
        <v>335</v>
      </c>
      <c r="G60" s="36">
        <v>1020694</v>
      </c>
      <c r="L60" s="63" t="s">
        <v>326</v>
      </c>
      <c r="M60" s="66">
        <v>1417146</v>
      </c>
    </row>
    <row r="61" spans="1:13" ht="14.4" x14ac:dyDescent="0.3">
      <c r="A61" s="36" t="s">
        <v>323</v>
      </c>
      <c r="B61" s="36" t="s">
        <v>337</v>
      </c>
      <c r="C61" s="36" t="s">
        <v>331</v>
      </c>
      <c r="D61" s="36" t="s">
        <v>339</v>
      </c>
      <c r="E61" s="36" t="s">
        <v>338</v>
      </c>
      <c r="F61" s="36" t="s">
        <v>335</v>
      </c>
      <c r="G61" s="36">
        <v>1447357</v>
      </c>
      <c r="L61" s="63" t="s">
        <v>339</v>
      </c>
      <c r="M61" s="66">
        <v>798284</v>
      </c>
    </row>
    <row r="62" spans="1:13" ht="14.4" x14ac:dyDescent="0.3">
      <c r="A62" s="36" t="s">
        <v>334</v>
      </c>
      <c r="B62" s="36" t="s">
        <v>324</v>
      </c>
      <c r="C62" s="36" t="s">
        <v>325</v>
      </c>
      <c r="D62" s="36" t="s">
        <v>332</v>
      </c>
      <c r="E62" s="36" t="s">
        <v>333</v>
      </c>
      <c r="F62" s="36" t="s">
        <v>335</v>
      </c>
      <c r="G62" s="36">
        <v>705041</v>
      </c>
      <c r="L62" s="63" t="s">
        <v>332</v>
      </c>
      <c r="M62" s="66">
        <v>753270</v>
      </c>
    </row>
    <row r="63" spans="1:13" ht="14.4" x14ac:dyDescent="0.3">
      <c r="A63" s="36" t="s">
        <v>329</v>
      </c>
      <c r="B63" s="36" t="s">
        <v>337</v>
      </c>
      <c r="C63" s="36" t="s">
        <v>340</v>
      </c>
      <c r="D63" s="36" t="s">
        <v>326</v>
      </c>
      <c r="E63" s="36" t="s">
        <v>338</v>
      </c>
      <c r="F63" s="36" t="s">
        <v>328</v>
      </c>
      <c r="G63" s="36">
        <v>1423951</v>
      </c>
      <c r="L63" s="64" t="s">
        <v>340</v>
      </c>
      <c r="M63" s="66">
        <v>1377479</v>
      </c>
    </row>
    <row r="64" spans="1:13" ht="14.4" x14ac:dyDescent="0.3">
      <c r="A64" s="36" t="s">
        <v>334</v>
      </c>
      <c r="B64" s="36" t="s">
        <v>324</v>
      </c>
      <c r="C64" s="36" t="s">
        <v>331</v>
      </c>
      <c r="D64" s="36" t="s">
        <v>339</v>
      </c>
      <c r="E64" s="36" t="s">
        <v>333</v>
      </c>
      <c r="F64" s="36" t="s">
        <v>336</v>
      </c>
      <c r="G64" s="36">
        <v>839610</v>
      </c>
      <c r="L64" s="63" t="s">
        <v>326</v>
      </c>
      <c r="M64" s="66">
        <v>1377479</v>
      </c>
    </row>
    <row r="65" spans="1:13" ht="14.4" x14ac:dyDescent="0.3">
      <c r="A65" s="36" t="s">
        <v>323</v>
      </c>
      <c r="B65" s="36" t="s">
        <v>330</v>
      </c>
      <c r="C65" s="36" t="s">
        <v>331</v>
      </c>
      <c r="D65" s="36" t="s">
        <v>332</v>
      </c>
      <c r="E65" s="36" t="s">
        <v>327</v>
      </c>
      <c r="F65" s="36" t="s">
        <v>328</v>
      </c>
      <c r="G65" s="36">
        <v>1025558</v>
      </c>
      <c r="L65" s="63" t="s">
        <v>339</v>
      </c>
      <c r="M65" s="66">
        <v>1002085</v>
      </c>
    </row>
    <row r="66" spans="1:13" ht="14.4" x14ac:dyDescent="0.3">
      <c r="A66" s="36" t="s">
        <v>329</v>
      </c>
      <c r="B66" s="36" t="s">
        <v>330</v>
      </c>
      <c r="C66" s="36" t="s">
        <v>340</v>
      </c>
      <c r="D66" s="36" t="s">
        <v>332</v>
      </c>
      <c r="E66" s="36" t="s">
        <v>338</v>
      </c>
      <c r="F66" s="36" t="s">
        <v>336</v>
      </c>
      <c r="G66" s="36">
        <v>1220644</v>
      </c>
      <c r="L66" s="64" t="s">
        <v>331</v>
      </c>
      <c r="M66" s="66">
        <v>1475627</v>
      </c>
    </row>
    <row r="67" spans="1:13" ht="14.4" x14ac:dyDescent="0.3">
      <c r="A67" s="36" t="s">
        <v>334</v>
      </c>
      <c r="B67" s="36" t="s">
        <v>337</v>
      </c>
      <c r="C67" s="36" t="s">
        <v>325</v>
      </c>
      <c r="D67" s="36" t="s">
        <v>326</v>
      </c>
      <c r="E67" s="36" t="s">
        <v>333</v>
      </c>
      <c r="F67" s="36" t="s">
        <v>328</v>
      </c>
      <c r="G67" s="36">
        <v>1160732</v>
      </c>
      <c r="L67" s="63" t="s">
        <v>332</v>
      </c>
      <c r="M67" s="66">
        <v>1475627</v>
      </c>
    </row>
    <row r="68" spans="1:13" ht="14.4" x14ac:dyDescent="0.3">
      <c r="A68" s="36" t="s">
        <v>334</v>
      </c>
      <c r="B68" s="36" t="s">
        <v>337</v>
      </c>
      <c r="C68" s="36" t="s">
        <v>331</v>
      </c>
      <c r="D68" s="36" t="s">
        <v>339</v>
      </c>
      <c r="E68" s="36" t="s">
        <v>333</v>
      </c>
      <c r="F68" s="36" t="s">
        <v>328</v>
      </c>
      <c r="G68" s="36">
        <v>760929</v>
      </c>
      <c r="L68" s="65" t="s">
        <v>337</v>
      </c>
      <c r="M68" s="66">
        <v>1447357</v>
      </c>
    </row>
    <row r="69" spans="1:13" ht="14.4" x14ac:dyDescent="0.3">
      <c r="A69" s="36" t="s">
        <v>329</v>
      </c>
      <c r="B69" s="36" t="s">
        <v>330</v>
      </c>
      <c r="C69" s="36" t="s">
        <v>325</v>
      </c>
      <c r="D69" s="36" t="s">
        <v>339</v>
      </c>
      <c r="E69" s="36" t="s">
        <v>338</v>
      </c>
      <c r="F69" s="36" t="s">
        <v>336</v>
      </c>
      <c r="G69" s="36">
        <v>1299944</v>
      </c>
      <c r="L69" s="61" t="s">
        <v>325</v>
      </c>
      <c r="M69" s="67">
        <v>1434406</v>
      </c>
    </row>
    <row r="70" spans="1:13" ht="14.4" x14ac:dyDescent="0.3">
      <c r="A70" s="36" t="s">
        <v>323</v>
      </c>
      <c r="B70" s="36" t="s">
        <v>337</v>
      </c>
      <c r="C70" s="36" t="s">
        <v>325</v>
      </c>
      <c r="D70" s="36" t="s">
        <v>339</v>
      </c>
      <c r="E70" s="36" t="s">
        <v>338</v>
      </c>
      <c r="F70" s="36" t="s">
        <v>328</v>
      </c>
      <c r="G70" s="36">
        <v>968576</v>
      </c>
      <c r="L70" s="63" t="s">
        <v>326</v>
      </c>
      <c r="M70" s="66">
        <v>1374829</v>
      </c>
    </row>
    <row r="71" spans="1:13" ht="14.4" x14ac:dyDescent="0.3">
      <c r="A71" s="36" t="s">
        <v>334</v>
      </c>
      <c r="B71" s="36" t="s">
        <v>330</v>
      </c>
      <c r="C71" s="36" t="s">
        <v>340</v>
      </c>
      <c r="D71" s="36" t="s">
        <v>332</v>
      </c>
      <c r="E71" s="36" t="s">
        <v>327</v>
      </c>
      <c r="F71" s="36" t="s">
        <v>328</v>
      </c>
      <c r="G71" s="36">
        <v>598902</v>
      </c>
      <c r="L71" s="63" t="s">
        <v>339</v>
      </c>
      <c r="M71" s="66">
        <v>968576</v>
      </c>
    </row>
    <row r="72" spans="1:13" ht="14.4" x14ac:dyDescent="0.3">
      <c r="A72" s="36" t="s">
        <v>334</v>
      </c>
      <c r="B72" s="36" t="s">
        <v>324</v>
      </c>
      <c r="C72" s="36" t="s">
        <v>331</v>
      </c>
      <c r="D72" s="36" t="s">
        <v>326</v>
      </c>
      <c r="E72" s="36" t="s">
        <v>338</v>
      </c>
      <c r="F72" s="36" t="s">
        <v>328</v>
      </c>
      <c r="G72" s="36">
        <v>1033788</v>
      </c>
      <c r="L72" s="63" t="s">
        <v>332</v>
      </c>
      <c r="M72" s="66">
        <v>1434406</v>
      </c>
    </row>
    <row r="73" spans="1:13" ht="14.4" x14ac:dyDescent="0.3">
      <c r="A73" s="36" t="s">
        <v>329</v>
      </c>
      <c r="B73" s="36" t="s">
        <v>337</v>
      </c>
      <c r="C73" s="36" t="s">
        <v>325</v>
      </c>
      <c r="D73" s="36" t="s">
        <v>326</v>
      </c>
      <c r="E73" s="36" t="s">
        <v>333</v>
      </c>
      <c r="F73" s="36" t="s">
        <v>336</v>
      </c>
      <c r="G73" s="36">
        <v>1050167</v>
      </c>
      <c r="L73" s="64" t="s">
        <v>340</v>
      </c>
      <c r="M73" s="66">
        <v>1434585</v>
      </c>
    </row>
    <row r="74" spans="1:13" ht="14.4" x14ac:dyDescent="0.3">
      <c r="A74" s="36" t="s">
        <v>334</v>
      </c>
      <c r="B74" s="36" t="s">
        <v>324</v>
      </c>
      <c r="C74" s="36" t="s">
        <v>340</v>
      </c>
      <c r="D74" s="36" t="s">
        <v>339</v>
      </c>
      <c r="E74" s="36" t="s">
        <v>338</v>
      </c>
      <c r="F74" s="36" t="s">
        <v>335</v>
      </c>
      <c r="G74" s="36">
        <v>902505</v>
      </c>
      <c r="L74" s="63" t="s">
        <v>326</v>
      </c>
      <c r="M74" s="66">
        <v>1368021</v>
      </c>
    </row>
    <row r="75" spans="1:13" ht="14.4" x14ac:dyDescent="0.3">
      <c r="A75" s="36" t="s">
        <v>329</v>
      </c>
      <c r="B75" s="36" t="s">
        <v>337</v>
      </c>
      <c r="C75" s="36" t="s">
        <v>340</v>
      </c>
      <c r="D75" s="36" t="s">
        <v>332</v>
      </c>
      <c r="E75" s="36" t="s">
        <v>333</v>
      </c>
      <c r="F75" s="36" t="s">
        <v>336</v>
      </c>
      <c r="G75" s="36">
        <v>720399</v>
      </c>
      <c r="L75" s="63" t="s">
        <v>339</v>
      </c>
      <c r="M75" s="66">
        <v>1434585</v>
      </c>
    </row>
    <row r="76" spans="1:13" ht="14.4" x14ac:dyDescent="0.3">
      <c r="A76" s="36" t="s">
        <v>334</v>
      </c>
      <c r="B76" s="36" t="s">
        <v>337</v>
      </c>
      <c r="C76" s="36" t="s">
        <v>331</v>
      </c>
      <c r="D76" s="36" t="s">
        <v>326</v>
      </c>
      <c r="E76" s="36" t="s">
        <v>338</v>
      </c>
      <c r="F76" s="36" t="s">
        <v>335</v>
      </c>
      <c r="G76" s="36">
        <v>1250461</v>
      </c>
      <c r="L76" s="63" t="s">
        <v>332</v>
      </c>
      <c r="M76" s="66">
        <v>1416240</v>
      </c>
    </row>
    <row r="77" spans="1:13" ht="14.4" x14ac:dyDescent="0.3">
      <c r="A77" s="36" t="s">
        <v>329</v>
      </c>
      <c r="B77" s="36" t="s">
        <v>330</v>
      </c>
      <c r="C77" s="36" t="s">
        <v>325</v>
      </c>
      <c r="D77" s="36" t="s">
        <v>339</v>
      </c>
      <c r="E77" s="36" t="s">
        <v>327</v>
      </c>
      <c r="F77" s="36" t="s">
        <v>328</v>
      </c>
      <c r="G77" s="36">
        <v>997968</v>
      </c>
      <c r="L77" s="64" t="s">
        <v>331</v>
      </c>
      <c r="M77" s="66">
        <v>1447357</v>
      </c>
    </row>
    <row r="78" spans="1:13" ht="14.4" x14ac:dyDescent="0.3">
      <c r="A78" s="36" t="s">
        <v>334</v>
      </c>
      <c r="B78" s="36" t="s">
        <v>330</v>
      </c>
      <c r="C78" s="36" t="s">
        <v>340</v>
      </c>
      <c r="D78" s="36" t="s">
        <v>339</v>
      </c>
      <c r="E78" s="36" t="s">
        <v>327</v>
      </c>
      <c r="F78" s="36" t="s">
        <v>335</v>
      </c>
      <c r="G78" s="36">
        <v>1263487</v>
      </c>
      <c r="L78" s="63" t="s">
        <v>326</v>
      </c>
      <c r="M78" s="66">
        <v>1379159</v>
      </c>
    </row>
    <row r="79" spans="1:13" ht="14.4" x14ac:dyDescent="0.3">
      <c r="A79" s="36" t="s">
        <v>329</v>
      </c>
      <c r="B79" s="36" t="s">
        <v>324</v>
      </c>
      <c r="C79" s="36" t="s">
        <v>331</v>
      </c>
      <c r="D79" s="36" t="s">
        <v>332</v>
      </c>
      <c r="E79" s="36" t="s">
        <v>333</v>
      </c>
      <c r="F79" s="36" t="s">
        <v>335</v>
      </c>
      <c r="G79" s="36">
        <v>926119</v>
      </c>
      <c r="L79" s="63" t="s">
        <v>339</v>
      </c>
      <c r="M79" s="66">
        <v>1447357</v>
      </c>
    </row>
    <row r="80" spans="1:13" ht="14.4" x14ac:dyDescent="0.3">
      <c r="A80" s="36" t="s">
        <v>323</v>
      </c>
      <c r="B80" s="36" t="s">
        <v>330</v>
      </c>
      <c r="C80" s="36" t="s">
        <v>331</v>
      </c>
      <c r="D80" s="36" t="s">
        <v>332</v>
      </c>
      <c r="E80" s="36" t="s">
        <v>327</v>
      </c>
      <c r="F80" s="36" t="s">
        <v>335</v>
      </c>
      <c r="G80" s="36">
        <v>627428</v>
      </c>
      <c r="L80" s="63" t="s">
        <v>332</v>
      </c>
      <c r="M80" s="66">
        <v>1099235</v>
      </c>
    </row>
    <row r="81" spans="1:13" ht="14.4" x14ac:dyDescent="0.3">
      <c r="A81" s="36" t="s">
        <v>329</v>
      </c>
      <c r="B81" s="36" t="s">
        <v>324</v>
      </c>
      <c r="C81" s="36" t="s">
        <v>340</v>
      </c>
      <c r="D81" s="36" t="s">
        <v>326</v>
      </c>
      <c r="E81" s="36" t="s">
        <v>338</v>
      </c>
      <c r="F81" s="36" t="s">
        <v>335</v>
      </c>
      <c r="G81" s="36">
        <v>1189550</v>
      </c>
      <c r="L81" s="59" t="s">
        <v>329</v>
      </c>
      <c r="M81" s="66">
        <v>1498688</v>
      </c>
    </row>
    <row r="82" spans="1:13" ht="14.4" x14ac:dyDescent="0.3">
      <c r="A82" s="36" t="s">
        <v>334</v>
      </c>
      <c r="B82" s="36" t="s">
        <v>337</v>
      </c>
      <c r="C82" s="36" t="s">
        <v>325</v>
      </c>
      <c r="D82" s="36" t="s">
        <v>332</v>
      </c>
      <c r="E82" s="36" t="s">
        <v>327</v>
      </c>
      <c r="F82" s="36" t="s">
        <v>328</v>
      </c>
      <c r="G82" s="36">
        <v>788995</v>
      </c>
      <c r="L82" s="60" t="s">
        <v>330</v>
      </c>
      <c r="M82" s="67">
        <v>1455333</v>
      </c>
    </row>
    <row r="83" spans="1:13" ht="14.4" x14ac:dyDescent="0.3">
      <c r="A83" s="36" t="s">
        <v>329</v>
      </c>
      <c r="B83" s="36" t="s">
        <v>337</v>
      </c>
      <c r="C83" s="36" t="s">
        <v>325</v>
      </c>
      <c r="D83" s="36" t="s">
        <v>326</v>
      </c>
      <c r="E83" s="36" t="s">
        <v>338</v>
      </c>
      <c r="F83" s="36" t="s">
        <v>336</v>
      </c>
      <c r="G83" s="36">
        <v>933769</v>
      </c>
      <c r="L83" s="61" t="s">
        <v>325</v>
      </c>
      <c r="M83" s="67">
        <v>1426348</v>
      </c>
    </row>
    <row r="84" spans="1:13" ht="14.4" x14ac:dyDescent="0.3">
      <c r="A84" s="36" t="s">
        <v>329</v>
      </c>
      <c r="B84" s="36" t="s">
        <v>330</v>
      </c>
      <c r="C84" s="36" t="s">
        <v>331</v>
      </c>
      <c r="D84" s="36" t="s">
        <v>326</v>
      </c>
      <c r="E84" s="36" t="s">
        <v>333</v>
      </c>
      <c r="F84" s="36" t="s">
        <v>336</v>
      </c>
      <c r="G84" s="36">
        <v>759211</v>
      </c>
      <c r="L84" s="63" t="s">
        <v>326</v>
      </c>
      <c r="M84" s="66">
        <v>1426348</v>
      </c>
    </row>
    <row r="85" spans="1:13" ht="14.4" x14ac:dyDescent="0.3">
      <c r="A85" s="36" t="s">
        <v>329</v>
      </c>
      <c r="B85" s="36" t="s">
        <v>330</v>
      </c>
      <c r="C85" s="36" t="s">
        <v>325</v>
      </c>
      <c r="D85" s="36" t="s">
        <v>326</v>
      </c>
      <c r="E85" s="36" t="s">
        <v>327</v>
      </c>
      <c r="F85" s="36" t="s">
        <v>328</v>
      </c>
      <c r="G85" s="36">
        <v>1426348</v>
      </c>
      <c r="L85" s="63" t="s">
        <v>339</v>
      </c>
      <c r="M85" s="66">
        <v>1299944</v>
      </c>
    </row>
    <row r="86" spans="1:13" ht="14.4" x14ac:dyDescent="0.3">
      <c r="A86" s="36" t="s">
        <v>323</v>
      </c>
      <c r="B86" s="36" t="s">
        <v>337</v>
      </c>
      <c r="C86" s="36" t="s">
        <v>331</v>
      </c>
      <c r="D86" s="36" t="s">
        <v>326</v>
      </c>
      <c r="E86" s="36" t="s">
        <v>327</v>
      </c>
      <c r="F86" s="36" t="s">
        <v>328</v>
      </c>
      <c r="G86" s="36">
        <v>1379159</v>
      </c>
      <c r="L86" s="63" t="s">
        <v>332</v>
      </c>
      <c r="M86" s="66">
        <v>1238960</v>
      </c>
    </row>
    <row r="87" spans="1:13" ht="14.4" x14ac:dyDescent="0.3">
      <c r="A87" s="36" t="s">
        <v>329</v>
      </c>
      <c r="B87" s="36" t="s">
        <v>324</v>
      </c>
      <c r="C87" s="36" t="s">
        <v>340</v>
      </c>
      <c r="D87" s="36" t="s">
        <v>339</v>
      </c>
      <c r="E87" s="36" t="s">
        <v>327</v>
      </c>
      <c r="F87" s="36" t="s">
        <v>328</v>
      </c>
      <c r="G87" s="36">
        <v>941266</v>
      </c>
      <c r="L87" s="64" t="s">
        <v>340</v>
      </c>
      <c r="M87" s="66">
        <v>1428481</v>
      </c>
    </row>
    <row r="88" spans="1:13" ht="14.4" x14ac:dyDescent="0.3">
      <c r="A88" s="36" t="s">
        <v>334</v>
      </c>
      <c r="B88" s="36" t="s">
        <v>324</v>
      </c>
      <c r="C88" s="36" t="s">
        <v>325</v>
      </c>
      <c r="D88" s="36" t="s">
        <v>326</v>
      </c>
      <c r="E88" s="36" t="s">
        <v>338</v>
      </c>
      <c r="F88" s="36" t="s">
        <v>336</v>
      </c>
      <c r="G88" s="36">
        <v>1394088</v>
      </c>
      <c r="L88" s="63" t="s">
        <v>326</v>
      </c>
      <c r="M88" s="66">
        <v>1428481</v>
      </c>
    </row>
    <row r="89" spans="1:13" ht="14.4" x14ac:dyDescent="0.3">
      <c r="A89" s="36" t="s">
        <v>323</v>
      </c>
      <c r="B89" s="36" t="s">
        <v>330</v>
      </c>
      <c r="C89" s="36" t="s">
        <v>340</v>
      </c>
      <c r="D89" s="36" t="s">
        <v>326</v>
      </c>
      <c r="E89" s="36" t="s">
        <v>327</v>
      </c>
      <c r="F89" s="36" t="s">
        <v>335</v>
      </c>
      <c r="G89" s="36">
        <v>551415</v>
      </c>
      <c r="L89" s="63" t="s">
        <v>332</v>
      </c>
      <c r="M89" s="66">
        <v>1309380</v>
      </c>
    </row>
    <row r="90" spans="1:13" ht="14.4" x14ac:dyDescent="0.3">
      <c r="A90" s="36" t="s">
        <v>329</v>
      </c>
      <c r="B90" s="36" t="s">
        <v>330</v>
      </c>
      <c r="C90" s="36" t="s">
        <v>340</v>
      </c>
      <c r="D90" s="36" t="s">
        <v>326</v>
      </c>
      <c r="E90" s="36" t="s">
        <v>327</v>
      </c>
      <c r="F90" s="36" t="s">
        <v>335</v>
      </c>
      <c r="G90" s="36">
        <v>661140</v>
      </c>
      <c r="L90" s="64" t="s">
        <v>331</v>
      </c>
      <c r="M90" s="66">
        <v>1455333</v>
      </c>
    </row>
    <row r="91" spans="1:13" ht="14.4" x14ac:dyDescent="0.3">
      <c r="A91" s="36" t="s">
        <v>329</v>
      </c>
      <c r="B91" s="36" t="s">
        <v>324</v>
      </c>
      <c r="C91" s="36" t="s">
        <v>325</v>
      </c>
      <c r="D91" s="36" t="s">
        <v>339</v>
      </c>
      <c r="E91" s="36" t="s">
        <v>333</v>
      </c>
      <c r="F91" s="36" t="s">
        <v>335</v>
      </c>
      <c r="G91" s="36">
        <v>1275690</v>
      </c>
      <c r="L91" s="63" t="s">
        <v>326</v>
      </c>
      <c r="M91" s="66">
        <v>906655</v>
      </c>
    </row>
    <row r="92" spans="1:13" ht="14.4" x14ac:dyDescent="0.3">
      <c r="A92" s="36" t="s">
        <v>323</v>
      </c>
      <c r="B92" s="36" t="s">
        <v>337</v>
      </c>
      <c r="C92" s="36" t="s">
        <v>331</v>
      </c>
      <c r="D92" s="36" t="s">
        <v>326</v>
      </c>
      <c r="E92" s="36" t="s">
        <v>327</v>
      </c>
      <c r="F92" s="36" t="s">
        <v>335</v>
      </c>
      <c r="G92" s="36">
        <v>771469</v>
      </c>
      <c r="L92" s="63" t="s">
        <v>339</v>
      </c>
      <c r="M92" s="66">
        <v>1031693</v>
      </c>
    </row>
    <row r="93" spans="1:13" ht="14.4" x14ac:dyDescent="0.3">
      <c r="A93" s="36" t="s">
        <v>323</v>
      </c>
      <c r="B93" s="36" t="s">
        <v>337</v>
      </c>
      <c r="C93" s="36" t="s">
        <v>325</v>
      </c>
      <c r="D93" s="36" t="s">
        <v>332</v>
      </c>
      <c r="E93" s="36" t="s">
        <v>338</v>
      </c>
      <c r="F93" s="36" t="s">
        <v>328</v>
      </c>
      <c r="G93" s="36">
        <v>811880</v>
      </c>
      <c r="L93" s="63" t="s">
        <v>332</v>
      </c>
      <c r="M93" s="66">
        <v>1455333</v>
      </c>
    </row>
    <row r="94" spans="1:13" ht="14.4" x14ac:dyDescent="0.3">
      <c r="A94" s="36" t="s">
        <v>323</v>
      </c>
      <c r="B94" s="36" t="s">
        <v>337</v>
      </c>
      <c r="C94" s="36" t="s">
        <v>325</v>
      </c>
      <c r="D94" s="36" t="s">
        <v>326</v>
      </c>
      <c r="E94" s="36" t="s">
        <v>327</v>
      </c>
      <c r="F94" s="36" t="s">
        <v>335</v>
      </c>
      <c r="G94" s="36">
        <v>693500</v>
      </c>
      <c r="L94" s="65" t="s">
        <v>324</v>
      </c>
      <c r="M94" s="66">
        <v>1498688</v>
      </c>
    </row>
    <row r="95" spans="1:13" ht="14.4" x14ac:dyDescent="0.3">
      <c r="A95" s="36" t="s">
        <v>334</v>
      </c>
      <c r="B95" s="36" t="s">
        <v>324</v>
      </c>
      <c r="C95" s="36" t="s">
        <v>331</v>
      </c>
      <c r="D95" s="36" t="s">
        <v>332</v>
      </c>
      <c r="E95" s="36" t="s">
        <v>333</v>
      </c>
      <c r="F95" s="36" t="s">
        <v>335</v>
      </c>
      <c r="G95" s="36">
        <v>1079581</v>
      </c>
      <c r="L95" s="61" t="s">
        <v>325</v>
      </c>
      <c r="M95" s="67">
        <v>1467722</v>
      </c>
    </row>
    <row r="96" spans="1:13" ht="14.4" x14ac:dyDescent="0.3">
      <c r="A96" s="36" t="s">
        <v>329</v>
      </c>
      <c r="B96" s="36" t="s">
        <v>337</v>
      </c>
      <c r="C96" s="36" t="s">
        <v>325</v>
      </c>
      <c r="D96" s="36" t="s">
        <v>326</v>
      </c>
      <c r="E96" s="36" t="s">
        <v>327</v>
      </c>
      <c r="F96" s="36" t="s">
        <v>328</v>
      </c>
      <c r="G96" s="36">
        <v>778329</v>
      </c>
      <c r="L96" s="63" t="s">
        <v>326</v>
      </c>
      <c r="M96" s="66">
        <v>1467722</v>
      </c>
    </row>
    <row r="97" spans="1:13" ht="14.4" x14ac:dyDescent="0.3">
      <c r="A97" s="36" t="s">
        <v>334</v>
      </c>
      <c r="B97" s="36" t="s">
        <v>324</v>
      </c>
      <c r="C97" s="36" t="s">
        <v>331</v>
      </c>
      <c r="D97" s="36" t="s">
        <v>339</v>
      </c>
      <c r="E97" s="36" t="s">
        <v>338</v>
      </c>
      <c r="F97" s="36" t="s">
        <v>335</v>
      </c>
      <c r="G97" s="36">
        <v>1190102</v>
      </c>
      <c r="L97" s="63" t="s">
        <v>339</v>
      </c>
      <c r="M97" s="66">
        <v>1275690</v>
      </c>
    </row>
    <row r="98" spans="1:13" ht="14.4" x14ac:dyDescent="0.3">
      <c r="A98" s="36" t="s">
        <v>329</v>
      </c>
      <c r="B98" s="36" t="s">
        <v>330</v>
      </c>
      <c r="C98" s="36" t="s">
        <v>325</v>
      </c>
      <c r="D98" s="36" t="s">
        <v>339</v>
      </c>
      <c r="E98" s="36" t="s">
        <v>338</v>
      </c>
      <c r="F98" s="36" t="s">
        <v>328</v>
      </c>
      <c r="G98" s="36">
        <v>1209871</v>
      </c>
      <c r="L98" s="63" t="s">
        <v>332</v>
      </c>
      <c r="M98" s="66">
        <v>517415</v>
      </c>
    </row>
    <row r="99" spans="1:13" ht="14.4" x14ac:dyDescent="0.3">
      <c r="A99" s="36" t="s">
        <v>329</v>
      </c>
      <c r="B99" s="36" t="s">
        <v>324</v>
      </c>
      <c r="C99" s="36" t="s">
        <v>331</v>
      </c>
      <c r="D99" s="36" t="s">
        <v>332</v>
      </c>
      <c r="E99" s="36" t="s">
        <v>338</v>
      </c>
      <c r="F99" s="36" t="s">
        <v>336</v>
      </c>
      <c r="G99" s="36">
        <v>1361703</v>
      </c>
      <c r="L99" s="64" t="s">
        <v>340</v>
      </c>
      <c r="M99" s="66">
        <v>1498688</v>
      </c>
    </row>
    <row r="100" spans="1:13" ht="14.4" x14ac:dyDescent="0.3">
      <c r="A100" s="36" t="s">
        <v>334</v>
      </c>
      <c r="B100" s="36" t="s">
        <v>330</v>
      </c>
      <c r="C100" s="36" t="s">
        <v>325</v>
      </c>
      <c r="D100" s="36" t="s">
        <v>339</v>
      </c>
      <c r="E100" s="36" t="s">
        <v>333</v>
      </c>
      <c r="F100" s="36" t="s">
        <v>336</v>
      </c>
      <c r="G100" s="36">
        <v>505326</v>
      </c>
      <c r="L100" s="63" t="s">
        <v>326</v>
      </c>
      <c r="M100" s="66">
        <v>1189550</v>
      </c>
    </row>
    <row r="101" spans="1:13" ht="14.4" x14ac:dyDescent="0.3">
      <c r="A101" s="36" t="s">
        <v>334</v>
      </c>
      <c r="B101" s="36" t="s">
        <v>324</v>
      </c>
      <c r="C101" s="36" t="s">
        <v>340</v>
      </c>
      <c r="D101" s="36" t="s">
        <v>326</v>
      </c>
      <c r="E101" s="36" t="s">
        <v>327</v>
      </c>
      <c r="F101" s="36" t="s">
        <v>336</v>
      </c>
      <c r="G101" s="36">
        <v>1021998</v>
      </c>
      <c r="L101" s="63" t="s">
        <v>339</v>
      </c>
      <c r="M101" s="66">
        <v>1498688</v>
      </c>
    </row>
    <row r="102" spans="1:13" ht="14.4" x14ac:dyDescent="0.3">
      <c r="A102" s="36" t="s">
        <v>334</v>
      </c>
      <c r="B102" s="36" t="s">
        <v>337</v>
      </c>
      <c r="C102" s="36" t="s">
        <v>340</v>
      </c>
      <c r="D102" s="36" t="s">
        <v>326</v>
      </c>
      <c r="E102" s="36" t="s">
        <v>333</v>
      </c>
      <c r="F102" s="36" t="s">
        <v>335</v>
      </c>
      <c r="G102" s="36">
        <v>1261926</v>
      </c>
      <c r="L102" s="63" t="s">
        <v>332</v>
      </c>
      <c r="M102" s="66">
        <v>1432965</v>
      </c>
    </row>
    <row r="103" spans="1:13" ht="14.4" x14ac:dyDescent="0.3">
      <c r="A103" s="36" t="s">
        <v>329</v>
      </c>
      <c r="B103" s="36" t="s">
        <v>330</v>
      </c>
      <c r="C103" s="36" t="s">
        <v>325</v>
      </c>
      <c r="D103" s="36" t="s">
        <v>326</v>
      </c>
      <c r="E103" s="36" t="s">
        <v>338</v>
      </c>
      <c r="F103" s="36" t="s">
        <v>335</v>
      </c>
      <c r="G103" s="36">
        <v>592159</v>
      </c>
      <c r="L103" s="64" t="s">
        <v>331</v>
      </c>
      <c r="M103" s="66">
        <v>1473816</v>
      </c>
    </row>
    <row r="104" spans="1:13" ht="14.4" x14ac:dyDescent="0.3">
      <c r="A104" s="36" t="s">
        <v>329</v>
      </c>
      <c r="B104" s="36" t="s">
        <v>324</v>
      </c>
      <c r="C104" s="36" t="s">
        <v>325</v>
      </c>
      <c r="D104" s="36" t="s">
        <v>339</v>
      </c>
      <c r="E104" s="36" t="s">
        <v>338</v>
      </c>
      <c r="F104" s="36" t="s">
        <v>335</v>
      </c>
      <c r="G104" s="36">
        <v>808067</v>
      </c>
      <c r="L104" s="63" t="s">
        <v>326</v>
      </c>
      <c r="M104" s="66">
        <v>909004</v>
      </c>
    </row>
    <row r="105" spans="1:13" ht="14.4" x14ac:dyDescent="0.3">
      <c r="A105" s="36" t="s">
        <v>329</v>
      </c>
      <c r="B105" s="36" t="s">
        <v>330</v>
      </c>
      <c r="C105" s="36" t="s">
        <v>325</v>
      </c>
      <c r="D105" s="36" t="s">
        <v>332</v>
      </c>
      <c r="E105" s="36" t="s">
        <v>338</v>
      </c>
      <c r="F105" s="36" t="s">
        <v>335</v>
      </c>
      <c r="G105" s="36">
        <v>1238960</v>
      </c>
      <c r="L105" s="63" t="s">
        <v>339</v>
      </c>
      <c r="M105" s="66">
        <v>971795</v>
      </c>
    </row>
    <row r="106" spans="1:13" ht="14.4" x14ac:dyDescent="0.3">
      <c r="A106" s="36" t="s">
        <v>323</v>
      </c>
      <c r="B106" s="36" t="s">
        <v>324</v>
      </c>
      <c r="C106" s="36" t="s">
        <v>325</v>
      </c>
      <c r="D106" s="36" t="s">
        <v>326</v>
      </c>
      <c r="E106" s="36" t="s">
        <v>338</v>
      </c>
      <c r="F106" s="36" t="s">
        <v>336</v>
      </c>
      <c r="G106" s="36">
        <v>1037668</v>
      </c>
      <c r="L106" s="63" t="s">
        <v>332</v>
      </c>
      <c r="M106" s="66">
        <v>1473816</v>
      </c>
    </row>
    <row r="107" spans="1:13" ht="14.4" x14ac:dyDescent="0.3">
      <c r="A107" s="36" t="s">
        <v>329</v>
      </c>
      <c r="B107" s="36" t="s">
        <v>324</v>
      </c>
      <c r="C107" s="36" t="s">
        <v>325</v>
      </c>
      <c r="D107" s="36" t="s">
        <v>326</v>
      </c>
      <c r="E107" s="36" t="s">
        <v>327</v>
      </c>
      <c r="F107" s="36" t="s">
        <v>328</v>
      </c>
      <c r="G107" s="36">
        <v>1152233</v>
      </c>
      <c r="L107" s="65" t="s">
        <v>337</v>
      </c>
      <c r="M107" s="66">
        <v>1493440</v>
      </c>
    </row>
    <row r="108" spans="1:13" ht="14.4" x14ac:dyDescent="0.3">
      <c r="A108" s="36" t="s">
        <v>334</v>
      </c>
      <c r="B108" s="36" t="s">
        <v>324</v>
      </c>
      <c r="C108" s="36" t="s">
        <v>325</v>
      </c>
      <c r="D108" s="36" t="s">
        <v>339</v>
      </c>
      <c r="E108" s="36" t="s">
        <v>327</v>
      </c>
      <c r="F108" s="36" t="s">
        <v>335</v>
      </c>
      <c r="G108" s="36">
        <v>1294037</v>
      </c>
      <c r="L108" s="61" t="s">
        <v>325</v>
      </c>
      <c r="M108" s="67">
        <v>1493440</v>
      </c>
    </row>
    <row r="109" spans="1:13" ht="14.4" x14ac:dyDescent="0.3">
      <c r="A109" s="36" t="s">
        <v>334</v>
      </c>
      <c r="B109" s="36" t="s">
        <v>324</v>
      </c>
      <c r="C109" s="36" t="s">
        <v>340</v>
      </c>
      <c r="D109" s="36" t="s">
        <v>326</v>
      </c>
      <c r="E109" s="36" t="s">
        <v>333</v>
      </c>
      <c r="F109" s="36" t="s">
        <v>336</v>
      </c>
      <c r="G109" s="36">
        <v>957880</v>
      </c>
      <c r="L109" s="63" t="s">
        <v>326</v>
      </c>
      <c r="M109" s="66">
        <v>1493440</v>
      </c>
    </row>
    <row r="110" spans="1:13" ht="14.4" x14ac:dyDescent="0.3">
      <c r="A110" s="36" t="s">
        <v>323</v>
      </c>
      <c r="B110" s="36" t="s">
        <v>324</v>
      </c>
      <c r="C110" s="36" t="s">
        <v>340</v>
      </c>
      <c r="D110" s="36" t="s">
        <v>339</v>
      </c>
      <c r="E110" s="36" t="s">
        <v>333</v>
      </c>
      <c r="F110" s="36" t="s">
        <v>328</v>
      </c>
      <c r="G110" s="36">
        <v>558316</v>
      </c>
      <c r="L110" s="63" t="s">
        <v>339</v>
      </c>
      <c r="M110" s="66">
        <v>1096349</v>
      </c>
    </row>
    <row r="111" spans="1:13" ht="14.4" x14ac:dyDescent="0.3">
      <c r="A111" s="36" t="s">
        <v>323</v>
      </c>
      <c r="B111" s="36" t="s">
        <v>337</v>
      </c>
      <c r="C111" s="36" t="s">
        <v>325</v>
      </c>
      <c r="D111" s="36" t="s">
        <v>332</v>
      </c>
      <c r="E111" s="36" t="s">
        <v>333</v>
      </c>
      <c r="F111" s="36" t="s">
        <v>335</v>
      </c>
      <c r="G111" s="36">
        <v>1434406</v>
      </c>
      <c r="L111" s="63" t="s">
        <v>332</v>
      </c>
      <c r="M111" s="66">
        <v>604327</v>
      </c>
    </row>
    <row r="112" spans="1:13" ht="14.4" x14ac:dyDescent="0.3">
      <c r="A112" s="36" t="s">
        <v>329</v>
      </c>
      <c r="B112" s="36" t="s">
        <v>324</v>
      </c>
      <c r="C112" s="36" t="s">
        <v>325</v>
      </c>
      <c r="D112" s="36" t="s">
        <v>332</v>
      </c>
      <c r="E112" s="36" t="s">
        <v>327</v>
      </c>
      <c r="F112" s="36" t="s">
        <v>336</v>
      </c>
      <c r="G112" s="36">
        <v>517415</v>
      </c>
      <c r="L112" s="64" t="s">
        <v>340</v>
      </c>
      <c r="M112" s="66">
        <v>1477925</v>
      </c>
    </row>
    <row r="113" spans="1:13" ht="14.4" x14ac:dyDescent="0.3">
      <c r="A113" s="36" t="s">
        <v>323</v>
      </c>
      <c r="B113" s="36" t="s">
        <v>324</v>
      </c>
      <c r="C113" s="36" t="s">
        <v>325</v>
      </c>
      <c r="D113" s="36" t="s">
        <v>332</v>
      </c>
      <c r="E113" s="36" t="s">
        <v>327</v>
      </c>
      <c r="F113" s="36" t="s">
        <v>335</v>
      </c>
      <c r="G113" s="36">
        <v>753270</v>
      </c>
      <c r="L113" s="63" t="s">
        <v>326</v>
      </c>
      <c r="M113" s="66">
        <v>1423951</v>
      </c>
    </row>
    <row r="114" spans="1:13" ht="14.4" x14ac:dyDescent="0.3">
      <c r="A114" s="36" t="s">
        <v>334</v>
      </c>
      <c r="B114" s="36" t="s">
        <v>337</v>
      </c>
      <c r="C114" s="36" t="s">
        <v>331</v>
      </c>
      <c r="D114" s="36" t="s">
        <v>332</v>
      </c>
      <c r="E114" s="36" t="s">
        <v>333</v>
      </c>
      <c r="F114" s="36" t="s">
        <v>328</v>
      </c>
      <c r="G114" s="36">
        <v>1082288</v>
      </c>
      <c r="L114" s="63" t="s">
        <v>339</v>
      </c>
      <c r="M114" s="66">
        <v>1477925</v>
      </c>
    </row>
    <row r="115" spans="1:13" ht="14.4" x14ac:dyDescent="0.3">
      <c r="A115" s="36" t="s">
        <v>323</v>
      </c>
      <c r="B115" s="36" t="s">
        <v>337</v>
      </c>
      <c r="C115" s="36" t="s">
        <v>331</v>
      </c>
      <c r="D115" s="36" t="s">
        <v>326</v>
      </c>
      <c r="E115" s="36" t="s">
        <v>333</v>
      </c>
      <c r="F115" s="36" t="s">
        <v>328</v>
      </c>
      <c r="G115" s="36">
        <v>1367520</v>
      </c>
      <c r="L115" s="63" t="s">
        <v>332</v>
      </c>
      <c r="M115" s="66">
        <v>1319711</v>
      </c>
    </row>
    <row r="116" spans="1:13" ht="14.4" x14ac:dyDescent="0.3">
      <c r="A116" s="36" t="s">
        <v>329</v>
      </c>
      <c r="B116" s="36" t="s">
        <v>337</v>
      </c>
      <c r="C116" s="36" t="s">
        <v>340</v>
      </c>
      <c r="D116" s="36" t="s">
        <v>339</v>
      </c>
      <c r="E116" s="36" t="s">
        <v>327</v>
      </c>
      <c r="F116" s="36" t="s">
        <v>336</v>
      </c>
      <c r="G116" s="36">
        <v>626213</v>
      </c>
      <c r="L116" s="64" t="s">
        <v>331</v>
      </c>
      <c r="M116" s="66">
        <v>1400298</v>
      </c>
    </row>
    <row r="117" spans="1:13" ht="14.4" x14ac:dyDescent="0.3">
      <c r="A117" s="36" t="s">
        <v>329</v>
      </c>
      <c r="B117" s="36" t="s">
        <v>337</v>
      </c>
      <c r="C117" s="36" t="s">
        <v>325</v>
      </c>
      <c r="D117" s="36" t="s">
        <v>326</v>
      </c>
      <c r="E117" s="36" t="s">
        <v>333</v>
      </c>
      <c r="F117" s="36" t="s">
        <v>335</v>
      </c>
      <c r="G117" s="36">
        <v>1251830</v>
      </c>
      <c r="L117" s="63" t="s">
        <v>326</v>
      </c>
      <c r="M117" s="66">
        <v>695976</v>
      </c>
    </row>
    <row r="118" spans="1:13" ht="14.4" x14ac:dyDescent="0.3">
      <c r="A118" s="36" t="s">
        <v>329</v>
      </c>
      <c r="B118" s="36" t="s">
        <v>337</v>
      </c>
      <c r="C118" s="36" t="s">
        <v>340</v>
      </c>
      <c r="D118" s="36" t="s">
        <v>339</v>
      </c>
      <c r="E118" s="36" t="s">
        <v>327</v>
      </c>
      <c r="F118" s="36" t="s">
        <v>335</v>
      </c>
      <c r="G118" s="36">
        <v>1439890</v>
      </c>
      <c r="L118" s="63" t="s">
        <v>339</v>
      </c>
      <c r="M118" s="66">
        <v>917037</v>
      </c>
    </row>
    <row r="119" spans="1:13" ht="14.4" x14ac:dyDescent="0.3">
      <c r="A119" s="36" t="s">
        <v>323</v>
      </c>
      <c r="B119" s="36" t="s">
        <v>337</v>
      </c>
      <c r="C119" s="36" t="s">
        <v>325</v>
      </c>
      <c r="D119" s="36" t="s">
        <v>326</v>
      </c>
      <c r="E119" s="36" t="s">
        <v>338</v>
      </c>
      <c r="F119" s="36" t="s">
        <v>328</v>
      </c>
      <c r="G119" s="36">
        <v>1374829</v>
      </c>
      <c r="L119" s="63" t="s">
        <v>332</v>
      </c>
      <c r="M119" s="66">
        <v>1400298</v>
      </c>
    </row>
    <row r="120" spans="1:13" ht="14.4" x14ac:dyDescent="0.3">
      <c r="A120" s="36" t="s">
        <v>329</v>
      </c>
      <c r="B120" s="36" t="s">
        <v>324</v>
      </c>
      <c r="C120" s="36" t="s">
        <v>340</v>
      </c>
      <c r="D120" s="36" t="s">
        <v>332</v>
      </c>
      <c r="E120" s="36" t="s">
        <v>338</v>
      </c>
      <c r="F120" s="36" t="s">
        <v>336</v>
      </c>
      <c r="G120" s="36">
        <v>1416252</v>
      </c>
      <c r="L120" s="62" t="s">
        <v>365</v>
      </c>
      <c r="M120" s="68">
        <v>1498688</v>
      </c>
    </row>
    <row r="121" spans="1:13" ht="14.4" x14ac:dyDescent="0.3">
      <c r="A121" s="36" t="s">
        <v>323</v>
      </c>
      <c r="B121" s="36" t="s">
        <v>337</v>
      </c>
      <c r="C121" s="36" t="s">
        <v>340</v>
      </c>
      <c r="D121" s="36" t="s">
        <v>332</v>
      </c>
      <c r="E121" s="36" t="s">
        <v>333</v>
      </c>
      <c r="F121" s="36" t="s">
        <v>335</v>
      </c>
      <c r="G121" s="36">
        <v>1229646</v>
      </c>
      <c r="L121"/>
      <c r="M121"/>
    </row>
    <row r="122" spans="1:13" ht="14.4" x14ac:dyDescent="0.3">
      <c r="A122" s="36" t="s">
        <v>334</v>
      </c>
      <c r="B122" s="36" t="s">
        <v>330</v>
      </c>
      <c r="C122" s="36" t="s">
        <v>331</v>
      </c>
      <c r="D122" s="36" t="s">
        <v>332</v>
      </c>
      <c r="E122" s="36" t="s">
        <v>327</v>
      </c>
      <c r="F122" s="36" t="s">
        <v>336</v>
      </c>
      <c r="G122" s="36">
        <v>571521</v>
      </c>
      <c r="L122"/>
      <c r="M122"/>
    </row>
    <row r="123" spans="1:13" ht="14.4" x14ac:dyDescent="0.3">
      <c r="A123" s="36" t="s">
        <v>334</v>
      </c>
      <c r="B123" s="36" t="s">
        <v>330</v>
      </c>
      <c r="C123" s="36" t="s">
        <v>331</v>
      </c>
      <c r="D123" s="36" t="s">
        <v>332</v>
      </c>
      <c r="E123" s="36" t="s">
        <v>333</v>
      </c>
      <c r="F123" s="36" t="s">
        <v>328</v>
      </c>
      <c r="G123" s="36">
        <v>1120730</v>
      </c>
      <c r="L123"/>
      <c r="M123"/>
    </row>
    <row r="124" spans="1:13" ht="14.4" x14ac:dyDescent="0.3">
      <c r="A124" s="36" t="s">
        <v>334</v>
      </c>
      <c r="B124" s="36" t="s">
        <v>330</v>
      </c>
      <c r="C124" s="36" t="s">
        <v>340</v>
      </c>
      <c r="D124" s="36" t="s">
        <v>339</v>
      </c>
      <c r="E124" s="36" t="s">
        <v>333</v>
      </c>
      <c r="F124" s="36" t="s">
        <v>336</v>
      </c>
      <c r="G124" s="36">
        <v>906977</v>
      </c>
      <c r="L124"/>
      <c r="M124"/>
    </row>
    <row r="125" spans="1:13" ht="14.4" x14ac:dyDescent="0.3">
      <c r="A125" s="36" t="s">
        <v>334</v>
      </c>
      <c r="B125" s="36" t="s">
        <v>324</v>
      </c>
      <c r="C125" s="36" t="s">
        <v>331</v>
      </c>
      <c r="D125" s="36" t="s">
        <v>326</v>
      </c>
      <c r="E125" s="36" t="s">
        <v>327</v>
      </c>
      <c r="F125" s="36" t="s">
        <v>336</v>
      </c>
      <c r="G125" s="36">
        <v>639800</v>
      </c>
      <c r="L125"/>
      <c r="M125"/>
    </row>
    <row r="126" spans="1:13" ht="14.4" x14ac:dyDescent="0.3">
      <c r="A126" s="36" t="s">
        <v>323</v>
      </c>
      <c r="B126" s="36" t="s">
        <v>330</v>
      </c>
      <c r="C126" s="36" t="s">
        <v>331</v>
      </c>
      <c r="D126" s="36" t="s">
        <v>332</v>
      </c>
      <c r="E126" s="36" t="s">
        <v>338</v>
      </c>
      <c r="F126" s="36" t="s">
        <v>335</v>
      </c>
      <c r="G126" s="36">
        <v>687718</v>
      </c>
      <c r="L126"/>
      <c r="M126"/>
    </row>
    <row r="127" spans="1:13" ht="14.4" x14ac:dyDescent="0.3">
      <c r="A127" s="36" t="s">
        <v>323</v>
      </c>
      <c r="B127" s="36" t="s">
        <v>337</v>
      </c>
      <c r="C127" s="36" t="s">
        <v>340</v>
      </c>
      <c r="D127" s="36" t="s">
        <v>339</v>
      </c>
      <c r="E127" s="36" t="s">
        <v>327</v>
      </c>
      <c r="F127" s="36" t="s">
        <v>328</v>
      </c>
      <c r="G127" s="36">
        <v>1292970</v>
      </c>
      <c r="L127"/>
      <c r="M127"/>
    </row>
    <row r="128" spans="1:13" ht="14.4" x14ac:dyDescent="0.3">
      <c r="A128" s="36" t="s">
        <v>334</v>
      </c>
      <c r="B128" s="36" t="s">
        <v>337</v>
      </c>
      <c r="C128" s="36" t="s">
        <v>340</v>
      </c>
      <c r="D128" s="36" t="s">
        <v>339</v>
      </c>
      <c r="E128" s="36" t="s">
        <v>333</v>
      </c>
      <c r="F128" s="36" t="s">
        <v>335</v>
      </c>
      <c r="G128" s="36">
        <v>1478306</v>
      </c>
      <c r="L128"/>
      <c r="M128"/>
    </row>
    <row r="129" spans="1:13" ht="14.4" x14ac:dyDescent="0.3">
      <c r="A129" s="36" t="s">
        <v>334</v>
      </c>
      <c r="B129" s="36" t="s">
        <v>324</v>
      </c>
      <c r="C129" s="36" t="s">
        <v>331</v>
      </c>
      <c r="D129" s="36" t="s">
        <v>332</v>
      </c>
      <c r="E129" s="36" t="s">
        <v>327</v>
      </c>
      <c r="F129" s="36" t="s">
        <v>328</v>
      </c>
      <c r="G129" s="36">
        <v>660249</v>
      </c>
      <c r="L129"/>
      <c r="M129"/>
    </row>
    <row r="130" spans="1:13" ht="14.4" x14ac:dyDescent="0.3">
      <c r="A130" s="36" t="s">
        <v>329</v>
      </c>
      <c r="B130" s="36" t="s">
        <v>337</v>
      </c>
      <c r="C130" s="36" t="s">
        <v>331</v>
      </c>
      <c r="D130" s="36" t="s">
        <v>326</v>
      </c>
      <c r="E130" s="36" t="s">
        <v>333</v>
      </c>
      <c r="F130" s="36" t="s">
        <v>335</v>
      </c>
      <c r="G130" s="36">
        <v>519145</v>
      </c>
      <c r="L130"/>
      <c r="M130"/>
    </row>
    <row r="131" spans="1:13" ht="14.4" x14ac:dyDescent="0.3">
      <c r="A131" s="36" t="s">
        <v>323</v>
      </c>
      <c r="B131" s="36" t="s">
        <v>330</v>
      </c>
      <c r="C131" s="36" t="s">
        <v>331</v>
      </c>
      <c r="D131" s="36" t="s">
        <v>332</v>
      </c>
      <c r="E131" s="36" t="s">
        <v>333</v>
      </c>
      <c r="F131" s="36" t="s">
        <v>336</v>
      </c>
      <c r="G131" s="36">
        <v>734638</v>
      </c>
      <c r="L131"/>
      <c r="M131"/>
    </row>
    <row r="132" spans="1:13" ht="14.4" x14ac:dyDescent="0.3">
      <c r="A132" s="36" t="s">
        <v>323</v>
      </c>
      <c r="B132" s="36" t="s">
        <v>337</v>
      </c>
      <c r="C132" s="36" t="s">
        <v>331</v>
      </c>
      <c r="D132" s="36" t="s">
        <v>332</v>
      </c>
      <c r="E132" s="36" t="s">
        <v>338</v>
      </c>
      <c r="F132" s="36" t="s">
        <v>328</v>
      </c>
      <c r="G132" s="36">
        <v>1099235</v>
      </c>
      <c r="L132"/>
      <c r="M132"/>
    </row>
    <row r="133" spans="1:13" ht="14.4" x14ac:dyDescent="0.3">
      <c r="A133" s="36" t="s">
        <v>334</v>
      </c>
      <c r="B133" s="36" t="s">
        <v>337</v>
      </c>
      <c r="C133" s="36" t="s">
        <v>325</v>
      </c>
      <c r="D133" s="36" t="s">
        <v>339</v>
      </c>
      <c r="E133" s="36" t="s">
        <v>338</v>
      </c>
      <c r="F133" s="36" t="s">
        <v>328</v>
      </c>
      <c r="G133" s="36">
        <v>803782</v>
      </c>
      <c r="L133"/>
      <c r="M133"/>
    </row>
    <row r="134" spans="1:13" ht="14.4" x14ac:dyDescent="0.3">
      <c r="A134" s="36" t="s">
        <v>334</v>
      </c>
      <c r="B134" s="36" t="s">
        <v>324</v>
      </c>
      <c r="C134" s="36" t="s">
        <v>325</v>
      </c>
      <c r="D134" s="36" t="s">
        <v>339</v>
      </c>
      <c r="E134" s="36" t="s">
        <v>327</v>
      </c>
      <c r="F134" s="36" t="s">
        <v>336</v>
      </c>
      <c r="G134" s="36">
        <v>1162641</v>
      </c>
      <c r="L134"/>
      <c r="M134"/>
    </row>
    <row r="135" spans="1:13" ht="14.4" x14ac:dyDescent="0.3">
      <c r="A135" s="36" t="s">
        <v>334</v>
      </c>
      <c r="B135" s="36" t="s">
        <v>330</v>
      </c>
      <c r="C135" s="36" t="s">
        <v>325</v>
      </c>
      <c r="D135" s="36" t="s">
        <v>332</v>
      </c>
      <c r="E135" s="36" t="s">
        <v>327</v>
      </c>
      <c r="F135" s="36" t="s">
        <v>335</v>
      </c>
      <c r="G135" s="36">
        <v>509235</v>
      </c>
      <c r="L135"/>
      <c r="M135"/>
    </row>
    <row r="136" spans="1:13" ht="14.4" x14ac:dyDescent="0.3">
      <c r="A136" s="36" t="s">
        <v>323</v>
      </c>
      <c r="B136" s="36" t="s">
        <v>330</v>
      </c>
      <c r="C136" s="36" t="s">
        <v>331</v>
      </c>
      <c r="D136" s="36" t="s">
        <v>326</v>
      </c>
      <c r="E136" s="36" t="s">
        <v>338</v>
      </c>
      <c r="F136" s="36" t="s">
        <v>328</v>
      </c>
      <c r="G136" s="36">
        <v>1416706</v>
      </c>
      <c r="L136"/>
      <c r="M136"/>
    </row>
    <row r="137" spans="1:13" ht="14.4" x14ac:dyDescent="0.3">
      <c r="A137" s="36" t="s">
        <v>323</v>
      </c>
      <c r="B137" s="36" t="s">
        <v>337</v>
      </c>
      <c r="C137" s="36" t="s">
        <v>331</v>
      </c>
      <c r="D137" s="36" t="s">
        <v>332</v>
      </c>
      <c r="E137" s="36" t="s">
        <v>333</v>
      </c>
      <c r="F137" s="36" t="s">
        <v>328</v>
      </c>
      <c r="G137" s="36">
        <v>688150</v>
      </c>
      <c r="L137"/>
      <c r="M137"/>
    </row>
    <row r="138" spans="1:13" ht="14.4" x14ac:dyDescent="0.3">
      <c r="A138" s="36" t="s">
        <v>323</v>
      </c>
      <c r="B138" s="36" t="s">
        <v>337</v>
      </c>
      <c r="C138" s="36" t="s">
        <v>340</v>
      </c>
      <c r="D138" s="36" t="s">
        <v>339</v>
      </c>
      <c r="E138" s="36" t="s">
        <v>333</v>
      </c>
      <c r="F138" s="36" t="s">
        <v>335</v>
      </c>
      <c r="G138" s="36">
        <v>533703</v>
      </c>
      <c r="L138"/>
      <c r="M138"/>
    </row>
    <row r="139" spans="1:13" ht="14.4" x14ac:dyDescent="0.3">
      <c r="A139" s="36" t="s">
        <v>323</v>
      </c>
      <c r="B139" s="36" t="s">
        <v>337</v>
      </c>
      <c r="C139" s="36" t="s">
        <v>325</v>
      </c>
      <c r="D139" s="36" t="s">
        <v>339</v>
      </c>
      <c r="E139" s="36" t="s">
        <v>327</v>
      </c>
      <c r="F139" s="36" t="s">
        <v>336</v>
      </c>
      <c r="G139" s="36">
        <v>716081</v>
      </c>
      <c r="L139"/>
      <c r="M139"/>
    </row>
    <row r="140" spans="1:13" ht="14.4" x14ac:dyDescent="0.3">
      <c r="A140" s="36" t="s">
        <v>323</v>
      </c>
      <c r="B140" s="36" t="s">
        <v>337</v>
      </c>
      <c r="C140" s="36" t="s">
        <v>331</v>
      </c>
      <c r="D140" s="36" t="s">
        <v>339</v>
      </c>
      <c r="E140" s="36" t="s">
        <v>333</v>
      </c>
      <c r="F140" s="36" t="s">
        <v>328</v>
      </c>
      <c r="G140" s="36">
        <v>843992</v>
      </c>
      <c r="L140"/>
      <c r="M140"/>
    </row>
    <row r="141" spans="1:13" ht="14.4" x14ac:dyDescent="0.3">
      <c r="A141" s="36" t="s">
        <v>323</v>
      </c>
      <c r="B141" s="36" t="s">
        <v>330</v>
      </c>
      <c r="C141" s="36" t="s">
        <v>340</v>
      </c>
      <c r="D141" s="36" t="s">
        <v>326</v>
      </c>
      <c r="E141" s="36" t="s">
        <v>333</v>
      </c>
      <c r="F141" s="36" t="s">
        <v>328</v>
      </c>
      <c r="G141" s="36">
        <v>1058599</v>
      </c>
      <c r="L141"/>
      <c r="M141"/>
    </row>
    <row r="142" spans="1:13" ht="14.4" x14ac:dyDescent="0.3">
      <c r="A142" s="36" t="s">
        <v>323</v>
      </c>
      <c r="B142" s="36" t="s">
        <v>330</v>
      </c>
      <c r="C142" s="36" t="s">
        <v>340</v>
      </c>
      <c r="D142" s="36" t="s">
        <v>326</v>
      </c>
      <c r="E142" s="36" t="s">
        <v>327</v>
      </c>
      <c r="F142" s="36" t="s">
        <v>336</v>
      </c>
      <c r="G142" s="36">
        <v>714654</v>
      </c>
      <c r="L142"/>
      <c r="M142"/>
    </row>
    <row r="143" spans="1:13" ht="14.4" x14ac:dyDescent="0.3">
      <c r="A143" s="36" t="s">
        <v>329</v>
      </c>
      <c r="B143" s="36" t="s">
        <v>330</v>
      </c>
      <c r="C143" s="36" t="s">
        <v>325</v>
      </c>
      <c r="D143" s="36" t="s">
        <v>339</v>
      </c>
      <c r="E143" s="36" t="s">
        <v>327</v>
      </c>
      <c r="F143" s="36" t="s">
        <v>336</v>
      </c>
      <c r="G143" s="36">
        <v>830230</v>
      </c>
      <c r="L143"/>
      <c r="M143"/>
    </row>
    <row r="144" spans="1:13" ht="14.4" x14ac:dyDescent="0.3">
      <c r="A144" s="36" t="s">
        <v>334</v>
      </c>
      <c r="B144" s="36" t="s">
        <v>337</v>
      </c>
      <c r="C144" s="36" t="s">
        <v>331</v>
      </c>
      <c r="D144" s="36" t="s">
        <v>326</v>
      </c>
      <c r="E144" s="36" t="s">
        <v>338</v>
      </c>
      <c r="F144" s="36" t="s">
        <v>335</v>
      </c>
      <c r="G144" s="36">
        <v>908467</v>
      </c>
      <c r="L144"/>
      <c r="M144"/>
    </row>
    <row r="145" spans="1:13" ht="14.4" x14ac:dyDescent="0.3">
      <c r="A145" s="36" t="s">
        <v>323</v>
      </c>
      <c r="B145" s="36" t="s">
        <v>337</v>
      </c>
      <c r="C145" s="36" t="s">
        <v>331</v>
      </c>
      <c r="D145" s="36" t="s">
        <v>326</v>
      </c>
      <c r="E145" s="36" t="s">
        <v>327</v>
      </c>
      <c r="F145" s="36" t="s">
        <v>328</v>
      </c>
      <c r="G145" s="36">
        <v>1270002</v>
      </c>
      <c r="L145"/>
      <c r="M145"/>
    </row>
    <row r="146" spans="1:13" ht="14.4" x14ac:dyDescent="0.3">
      <c r="A146" s="36" t="s">
        <v>329</v>
      </c>
      <c r="B146" s="36" t="s">
        <v>324</v>
      </c>
      <c r="C146" s="36" t="s">
        <v>331</v>
      </c>
      <c r="D146" s="36" t="s">
        <v>326</v>
      </c>
      <c r="E146" s="36" t="s">
        <v>338</v>
      </c>
      <c r="F146" s="36" t="s">
        <v>328</v>
      </c>
      <c r="G146" s="36">
        <v>909004</v>
      </c>
      <c r="L146"/>
      <c r="M146"/>
    </row>
    <row r="147" spans="1:13" ht="14.4" x14ac:dyDescent="0.3">
      <c r="A147" s="36" t="s">
        <v>329</v>
      </c>
      <c r="B147" s="36" t="s">
        <v>337</v>
      </c>
      <c r="C147" s="36" t="s">
        <v>331</v>
      </c>
      <c r="D147" s="36" t="s">
        <v>339</v>
      </c>
      <c r="E147" s="36" t="s">
        <v>333</v>
      </c>
      <c r="F147" s="36" t="s">
        <v>336</v>
      </c>
      <c r="G147" s="36">
        <v>546442</v>
      </c>
      <c r="L147"/>
      <c r="M147"/>
    </row>
    <row r="148" spans="1:13" ht="14.4" x14ac:dyDescent="0.3">
      <c r="A148" s="36" t="s">
        <v>334</v>
      </c>
      <c r="B148" s="36" t="s">
        <v>324</v>
      </c>
      <c r="C148" s="36" t="s">
        <v>340</v>
      </c>
      <c r="D148" s="36" t="s">
        <v>332</v>
      </c>
      <c r="E148" s="36" t="s">
        <v>333</v>
      </c>
      <c r="F148" s="36" t="s">
        <v>335</v>
      </c>
      <c r="G148" s="36">
        <v>819388</v>
      </c>
      <c r="L148"/>
      <c r="M148"/>
    </row>
    <row r="149" spans="1:13" ht="14.4" x14ac:dyDescent="0.3">
      <c r="A149" s="36" t="s">
        <v>329</v>
      </c>
      <c r="B149" s="36" t="s">
        <v>330</v>
      </c>
      <c r="C149" s="36" t="s">
        <v>340</v>
      </c>
      <c r="D149" s="36" t="s">
        <v>326</v>
      </c>
      <c r="E149" s="36" t="s">
        <v>333</v>
      </c>
      <c r="F149" s="36" t="s">
        <v>335</v>
      </c>
      <c r="G149" s="36">
        <v>1428481</v>
      </c>
      <c r="L149"/>
      <c r="M149"/>
    </row>
    <row r="150" spans="1:13" ht="14.4" x14ac:dyDescent="0.3">
      <c r="A150" s="36" t="s">
        <v>329</v>
      </c>
      <c r="B150" s="36" t="s">
        <v>330</v>
      </c>
      <c r="C150" s="36" t="s">
        <v>340</v>
      </c>
      <c r="D150" s="36" t="s">
        <v>326</v>
      </c>
      <c r="E150" s="36" t="s">
        <v>333</v>
      </c>
      <c r="F150" s="36" t="s">
        <v>336</v>
      </c>
      <c r="G150" s="36">
        <v>1325790</v>
      </c>
      <c r="L150"/>
      <c r="M150"/>
    </row>
    <row r="151" spans="1:13" ht="14.4" x14ac:dyDescent="0.3">
      <c r="A151" s="36" t="s">
        <v>323</v>
      </c>
      <c r="B151" s="36" t="s">
        <v>324</v>
      </c>
      <c r="C151" s="36" t="s">
        <v>325</v>
      </c>
      <c r="D151" s="36" t="s">
        <v>339</v>
      </c>
      <c r="E151" s="36" t="s">
        <v>327</v>
      </c>
      <c r="F151" s="36" t="s">
        <v>335</v>
      </c>
      <c r="G151" s="36">
        <v>798284</v>
      </c>
      <c r="L151"/>
      <c r="M151"/>
    </row>
    <row r="152" spans="1:13" ht="14.4" x14ac:dyDescent="0.3">
      <c r="A152" s="36" t="s">
        <v>323</v>
      </c>
      <c r="B152" s="36" t="s">
        <v>337</v>
      </c>
      <c r="C152" s="36" t="s">
        <v>340</v>
      </c>
      <c r="D152" s="36" t="s">
        <v>326</v>
      </c>
      <c r="E152" s="36" t="s">
        <v>333</v>
      </c>
      <c r="F152" s="36" t="s">
        <v>336</v>
      </c>
      <c r="G152" s="36">
        <v>1165160</v>
      </c>
      <c r="L152"/>
      <c r="M152"/>
    </row>
    <row r="153" spans="1:13" ht="14.4" x14ac:dyDescent="0.3">
      <c r="A153" s="36" t="s">
        <v>329</v>
      </c>
      <c r="B153" s="36" t="s">
        <v>324</v>
      </c>
      <c r="C153" s="36" t="s">
        <v>325</v>
      </c>
      <c r="D153" s="36" t="s">
        <v>326</v>
      </c>
      <c r="E153" s="36" t="s">
        <v>333</v>
      </c>
      <c r="F153" s="36" t="s">
        <v>335</v>
      </c>
      <c r="G153" s="36">
        <v>1248065</v>
      </c>
      <c r="L153"/>
      <c r="M153"/>
    </row>
    <row r="154" spans="1:13" ht="14.4" x14ac:dyDescent="0.3">
      <c r="A154" s="36" t="s">
        <v>334</v>
      </c>
      <c r="B154" s="36" t="s">
        <v>337</v>
      </c>
      <c r="C154" s="36" t="s">
        <v>325</v>
      </c>
      <c r="D154" s="36" t="s">
        <v>332</v>
      </c>
      <c r="E154" s="36" t="s">
        <v>327</v>
      </c>
      <c r="F154" s="36" t="s">
        <v>328</v>
      </c>
      <c r="G154" s="36">
        <v>1467094</v>
      </c>
      <c r="L154"/>
      <c r="M154"/>
    </row>
    <row r="155" spans="1:13" ht="14.4" x14ac:dyDescent="0.3">
      <c r="A155" s="36" t="s">
        <v>323</v>
      </c>
      <c r="B155" s="36" t="s">
        <v>330</v>
      </c>
      <c r="C155" s="36" t="s">
        <v>331</v>
      </c>
      <c r="D155" s="36" t="s">
        <v>339</v>
      </c>
      <c r="E155" s="36" t="s">
        <v>333</v>
      </c>
      <c r="F155" s="36" t="s">
        <v>336</v>
      </c>
      <c r="G155" s="36">
        <v>544607</v>
      </c>
      <c r="L155"/>
      <c r="M155"/>
    </row>
    <row r="156" spans="1:13" ht="14.4" x14ac:dyDescent="0.3">
      <c r="A156" s="36" t="s">
        <v>334</v>
      </c>
      <c r="B156" s="36" t="s">
        <v>324</v>
      </c>
      <c r="C156" s="36" t="s">
        <v>340</v>
      </c>
      <c r="D156" s="36" t="s">
        <v>332</v>
      </c>
      <c r="E156" s="36" t="s">
        <v>333</v>
      </c>
      <c r="F156" s="36" t="s">
        <v>336</v>
      </c>
      <c r="G156" s="36">
        <v>798354</v>
      </c>
      <c r="L156"/>
      <c r="M156"/>
    </row>
    <row r="157" spans="1:13" ht="14.4" x14ac:dyDescent="0.3">
      <c r="A157" s="36" t="s">
        <v>334</v>
      </c>
      <c r="B157" s="36" t="s">
        <v>337</v>
      </c>
      <c r="C157" s="36" t="s">
        <v>331</v>
      </c>
      <c r="D157" s="36" t="s">
        <v>339</v>
      </c>
      <c r="E157" s="36" t="s">
        <v>333</v>
      </c>
      <c r="F157" s="36" t="s">
        <v>328</v>
      </c>
      <c r="G157" s="36">
        <v>848160</v>
      </c>
      <c r="L157"/>
      <c r="M157"/>
    </row>
    <row r="158" spans="1:13" ht="14.4" x14ac:dyDescent="0.3">
      <c r="A158" s="36" t="s">
        <v>323</v>
      </c>
      <c r="B158" s="36" t="s">
        <v>324</v>
      </c>
      <c r="C158" s="36" t="s">
        <v>331</v>
      </c>
      <c r="D158" s="36" t="s">
        <v>332</v>
      </c>
      <c r="E158" s="36" t="s">
        <v>327</v>
      </c>
      <c r="F158" s="36" t="s">
        <v>328</v>
      </c>
      <c r="G158" s="36">
        <v>996322</v>
      </c>
      <c r="L158"/>
      <c r="M158"/>
    </row>
    <row r="159" spans="1:13" ht="14.4" x14ac:dyDescent="0.3">
      <c r="A159" s="36" t="s">
        <v>323</v>
      </c>
      <c r="B159" s="36" t="s">
        <v>330</v>
      </c>
      <c r="C159" s="36" t="s">
        <v>325</v>
      </c>
      <c r="D159" s="36" t="s">
        <v>326</v>
      </c>
      <c r="E159" s="36" t="s">
        <v>338</v>
      </c>
      <c r="F159" s="36" t="s">
        <v>328</v>
      </c>
      <c r="G159" s="36">
        <v>1089699</v>
      </c>
      <c r="L159"/>
      <c r="M159"/>
    </row>
    <row r="160" spans="1:13" ht="14.4" x14ac:dyDescent="0.3">
      <c r="A160" s="36" t="s">
        <v>334</v>
      </c>
      <c r="B160" s="36" t="s">
        <v>330</v>
      </c>
      <c r="C160" s="36" t="s">
        <v>340</v>
      </c>
      <c r="D160" s="36" t="s">
        <v>339</v>
      </c>
      <c r="E160" s="36" t="s">
        <v>333</v>
      </c>
      <c r="F160" s="36" t="s">
        <v>335</v>
      </c>
      <c r="G160" s="36">
        <v>1153431</v>
      </c>
      <c r="L160"/>
      <c r="M160"/>
    </row>
    <row r="161" spans="1:13" ht="14.4" x14ac:dyDescent="0.3">
      <c r="A161" s="36" t="s">
        <v>334</v>
      </c>
      <c r="B161" s="36" t="s">
        <v>337</v>
      </c>
      <c r="C161" s="36" t="s">
        <v>331</v>
      </c>
      <c r="D161" s="36" t="s">
        <v>332</v>
      </c>
      <c r="E161" s="36" t="s">
        <v>327</v>
      </c>
      <c r="F161" s="36" t="s">
        <v>328</v>
      </c>
      <c r="G161" s="36">
        <v>1057688</v>
      </c>
      <c r="L161"/>
      <c r="M161"/>
    </row>
    <row r="162" spans="1:13" ht="14.4" x14ac:dyDescent="0.3">
      <c r="A162" s="36" t="s">
        <v>334</v>
      </c>
      <c r="B162" s="36" t="s">
        <v>337</v>
      </c>
      <c r="C162" s="36" t="s">
        <v>331</v>
      </c>
      <c r="D162" s="36" t="s">
        <v>332</v>
      </c>
      <c r="E162" s="36" t="s">
        <v>333</v>
      </c>
      <c r="F162" s="36" t="s">
        <v>336</v>
      </c>
      <c r="G162" s="36">
        <v>773891</v>
      </c>
      <c r="L162"/>
      <c r="M162"/>
    </row>
    <row r="163" spans="1:13" ht="14.4" x14ac:dyDescent="0.3">
      <c r="A163" s="36" t="s">
        <v>329</v>
      </c>
      <c r="B163" s="36" t="s">
        <v>337</v>
      </c>
      <c r="C163" s="36" t="s">
        <v>325</v>
      </c>
      <c r="D163" s="36" t="s">
        <v>332</v>
      </c>
      <c r="E163" s="36" t="s">
        <v>333</v>
      </c>
      <c r="F163" s="36" t="s">
        <v>335</v>
      </c>
      <c r="G163" s="36">
        <v>604327</v>
      </c>
      <c r="L163"/>
      <c r="M163"/>
    </row>
    <row r="164" spans="1:13" ht="14.4" x14ac:dyDescent="0.3">
      <c r="A164" s="36" t="s">
        <v>329</v>
      </c>
      <c r="B164" s="36" t="s">
        <v>330</v>
      </c>
      <c r="C164" s="36" t="s">
        <v>340</v>
      </c>
      <c r="D164" s="36" t="s">
        <v>332</v>
      </c>
      <c r="E164" s="36" t="s">
        <v>327</v>
      </c>
      <c r="F164" s="36" t="s">
        <v>336</v>
      </c>
      <c r="G164" s="36">
        <v>1309380</v>
      </c>
      <c r="L164"/>
      <c r="M164"/>
    </row>
    <row r="165" spans="1:13" ht="14.4" x14ac:dyDescent="0.3">
      <c r="A165" s="36" t="s">
        <v>334</v>
      </c>
      <c r="B165" s="36" t="s">
        <v>324</v>
      </c>
      <c r="C165" s="36" t="s">
        <v>340</v>
      </c>
      <c r="D165" s="36" t="s">
        <v>326</v>
      </c>
      <c r="E165" s="36" t="s">
        <v>327</v>
      </c>
      <c r="F165" s="36" t="s">
        <v>336</v>
      </c>
      <c r="G165" s="36">
        <v>641666</v>
      </c>
      <c r="L165"/>
      <c r="M165"/>
    </row>
    <row r="166" spans="1:13" ht="14.4" x14ac:dyDescent="0.3">
      <c r="A166" s="36" t="s">
        <v>329</v>
      </c>
      <c r="B166" s="36" t="s">
        <v>324</v>
      </c>
      <c r="C166" s="36" t="s">
        <v>340</v>
      </c>
      <c r="D166" s="36" t="s">
        <v>326</v>
      </c>
      <c r="E166" s="36" t="s">
        <v>327</v>
      </c>
      <c r="F166" s="36" t="s">
        <v>335</v>
      </c>
      <c r="G166" s="36">
        <v>1020297</v>
      </c>
      <c r="L166"/>
      <c r="M166"/>
    </row>
    <row r="167" spans="1:13" ht="14.4" x14ac:dyDescent="0.3">
      <c r="A167" s="36" t="s">
        <v>334</v>
      </c>
      <c r="B167" s="36" t="s">
        <v>330</v>
      </c>
      <c r="C167" s="36" t="s">
        <v>340</v>
      </c>
      <c r="D167" s="36" t="s">
        <v>326</v>
      </c>
      <c r="E167" s="36" t="s">
        <v>333</v>
      </c>
      <c r="F167" s="36" t="s">
        <v>336</v>
      </c>
      <c r="G167" s="36">
        <v>548567</v>
      </c>
      <c r="L167"/>
      <c r="M167"/>
    </row>
    <row r="168" spans="1:13" ht="14.4" x14ac:dyDescent="0.3">
      <c r="A168" s="36" t="s">
        <v>329</v>
      </c>
      <c r="B168" s="36" t="s">
        <v>337</v>
      </c>
      <c r="C168" s="36" t="s">
        <v>331</v>
      </c>
      <c r="D168" s="36" t="s">
        <v>326</v>
      </c>
      <c r="E168" s="36" t="s">
        <v>333</v>
      </c>
      <c r="F168" s="36" t="s">
        <v>336</v>
      </c>
      <c r="G168" s="36">
        <v>695976</v>
      </c>
      <c r="L168"/>
      <c r="M168"/>
    </row>
    <row r="169" spans="1:13" ht="14.4" x14ac:dyDescent="0.3">
      <c r="A169" s="36" t="s">
        <v>329</v>
      </c>
      <c r="B169" s="36" t="s">
        <v>337</v>
      </c>
      <c r="C169" s="36" t="s">
        <v>331</v>
      </c>
      <c r="D169" s="36" t="s">
        <v>332</v>
      </c>
      <c r="E169" s="36" t="s">
        <v>333</v>
      </c>
      <c r="F169" s="36" t="s">
        <v>336</v>
      </c>
      <c r="G169" s="36">
        <v>1400298</v>
      </c>
      <c r="L169"/>
      <c r="M169"/>
    </row>
    <row r="170" spans="1:13" ht="14.4" x14ac:dyDescent="0.3">
      <c r="A170" s="36" t="s">
        <v>329</v>
      </c>
      <c r="B170" s="36" t="s">
        <v>337</v>
      </c>
      <c r="C170" s="36" t="s">
        <v>340</v>
      </c>
      <c r="D170" s="36" t="s">
        <v>326</v>
      </c>
      <c r="E170" s="36" t="s">
        <v>338</v>
      </c>
      <c r="F170" s="36" t="s">
        <v>336</v>
      </c>
      <c r="G170" s="36">
        <v>544553</v>
      </c>
      <c r="L170"/>
      <c r="M170"/>
    </row>
    <row r="171" spans="1:13" ht="14.4" x14ac:dyDescent="0.3">
      <c r="A171" s="36" t="s">
        <v>334</v>
      </c>
      <c r="B171" s="36" t="s">
        <v>330</v>
      </c>
      <c r="C171" s="36" t="s">
        <v>331</v>
      </c>
      <c r="D171" s="36" t="s">
        <v>326</v>
      </c>
      <c r="E171" s="36" t="s">
        <v>333</v>
      </c>
      <c r="F171" s="36" t="s">
        <v>336</v>
      </c>
      <c r="G171" s="36">
        <v>1275773</v>
      </c>
      <c r="L171"/>
      <c r="M171"/>
    </row>
    <row r="172" spans="1:13" ht="14.4" x14ac:dyDescent="0.3">
      <c r="A172" s="36" t="s">
        <v>334</v>
      </c>
      <c r="B172" s="36" t="s">
        <v>330</v>
      </c>
      <c r="C172" s="36" t="s">
        <v>325</v>
      </c>
      <c r="D172" s="36" t="s">
        <v>326</v>
      </c>
      <c r="E172" s="36" t="s">
        <v>327</v>
      </c>
      <c r="F172" s="36" t="s">
        <v>335</v>
      </c>
      <c r="G172" s="36">
        <v>581761</v>
      </c>
      <c r="L172"/>
      <c r="M172"/>
    </row>
    <row r="173" spans="1:13" ht="14.4" x14ac:dyDescent="0.3">
      <c r="A173" s="36" t="s">
        <v>334</v>
      </c>
      <c r="B173" s="36" t="s">
        <v>330</v>
      </c>
      <c r="C173" s="36" t="s">
        <v>340</v>
      </c>
      <c r="D173" s="36" t="s">
        <v>339</v>
      </c>
      <c r="E173" s="36" t="s">
        <v>333</v>
      </c>
      <c r="F173" s="36" t="s">
        <v>336</v>
      </c>
      <c r="G173" s="36">
        <v>691698</v>
      </c>
      <c r="L173"/>
      <c r="M173"/>
    </row>
    <row r="174" spans="1:13" ht="14.4" x14ac:dyDescent="0.3">
      <c r="A174" s="36" t="s">
        <v>323</v>
      </c>
      <c r="B174" s="36" t="s">
        <v>324</v>
      </c>
      <c r="C174" s="36" t="s">
        <v>340</v>
      </c>
      <c r="D174" s="36" t="s">
        <v>326</v>
      </c>
      <c r="E174" s="36" t="s">
        <v>338</v>
      </c>
      <c r="F174" s="36" t="s">
        <v>335</v>
      </c>
      <c r="G174" s="36">
        <v>1377479</v>
      </c>
      <c r="L174"/>
      <c r="M174"/>
    </row>
    <row r="175" spans="1:13" ht="14.4" x14ac:dyDescent="0.3">
      <c r="A175" s="36" t="s">
        <v>329</v>
      </c>
      <c r="B175" s="36" t="s">
        <v>324</v>
      </c>
      <c r="C175" s="36" t="s">
        <v>340</v>
      </c>
      <c r="D175" s="36" t="s">
        <v>332</v>
      </c>
      <c r="E175" s="36" t="s">
        <v>338</v>
      </c>
      <c r="F175" s="36" t="s">
        <v>336</v>
      </c>
      <c r="G175" s="36">
        <v>1432965</v>
      </c>
      <c r="L175"/>
      <c r="M175"/>
    </row>
    <row r="176" spans="1:13" ht="14.4" x14ac:dyDescent="0.3">
      <c r="A176" s="36" t="s">
        <v>323</v>
      </c>
      <c r="B176" s="36" t="s">
        <v>337</v>
      </c>
      <c r="C176" s="36" t="s">
        <v>340</v>
      </c>
      <c r="D176" s="36" t="s">
        <v>326</v>
      </c>
      <c r="E176" s="36" t="s">
        <v>333</v>
      </c>
      <c r="F176" s="36" t="s">
        <v>335</v>
      </c>
      <c r="G176" s="36">
        <v>1368021</v>
      </c>
      <c r="L176"/>
      <c r="M176"/>
    </row>
    <row r="177" spans="1:13" ht="14.4" x14ac:dyDescent="0.3">
      <c r="A177" s="36" t="s">
        <v>329</v>
      </c>
      <c r="B177" s="36" t="s">
        <v>337</v>
      </c>
      <c r="C177" s="36" t="s">
        <v>331</v>
      </c>
      <c r="D177" s="36" t="s">
        <v>326</v>
      </c>
      <c r="E177" s="36" t="s">
        <v>338</v>
      </c>
      <c r="F177" s="36" t="s">
        <v>335</v>
      </c>
      <c r="G177" s="36">
        <v>547388</v>
      </c>
      <c r="L177"/>
      <c r="M177"/>
    </row>
    <row r="178" spans="1:13" ht="14.4" x14ac:dyDescent="0.3">
      <c r="A178" s="36" t="s">
        <v>329</v>
      </c>
      <c r="B178" s="36" t="s">
        <v>330</v>
      </c>
      <c r="C178" s="36" t="s">
        <v>340</v>
      </c>
      <c r="D178" s="36" t="s">
        <v>332</v>
      </c>
      <c r="E178" s="36" t="s">
        <v>327</v>
      </c>
      <c r="F178" s="36" t="s">
        <v>336</v>
      </c>
      <c r="G178" s="36">
        <v>1111574</v>
      </c>
      <c r="L178"/>
      <c r="M178"/>
    </row>
    <row r="179" spans="1:13" ht="14.4" x14ac:dyDescent="0.3">
      <c r="A179" s="36" t="s">
        <v>329</v>
      </c>
      <c r="B179" s="36" t="s">
        <v>330</v>
      </c>
      <c r="C179" s="36" t="s">
        <v>325</v>
      </c>
      <c r="D179" s="36" t="s">
        <v>339</v>
      </c>
      <c r="E179" s="36" t="s">
        <v>327</v>
      </c>
      <c r="F179" s="36" t="s">
        <v>328</v>
      </c>
      <c r="G179" s="36">
        <v>981231</v>
      </c>
      <c r="L179"/>
      <c r="M179"/>
    </row>
    <row r="180" spans="1:13" ht="14.4" x14ac:dyDescent="0.3">
      <c r="A180" s="36" t="s">
        <v>323</v>
      </c>
      <c r="B180" s="36" t="s">
        <v>337</v>
      </c>
      <c r="C180" s="36" t="s">
        <v>331</v>
      </c>
      <c r="D180" s="36" t="s">
        <v>326</v>
      </c>
      <c r="E180" s="36" t="s">
        <v>333</v>
      </c>
      <c r="F180" s="36" t="s">
        <v>335</v>
      </c>
      <c r="G180" s="36">
        <v>888836</v>
      </c>
      <c r="L180"/>
      <c r="M180"/>
    </row>
    <row r="181" spans="1:13" ht="14.4" x14ac:dyDescent="0.3">
      <c r="A181" s="36" t="s">
        <v>323</v>
      </c>
      <c r="B181" s="36" t="s">
        <v>324</v>
      </c>
      <c r="C181" s="36" t="s">
        <v>331</v>
      </c>
      <c r="D181" s="36" t="s">
        <v>332</v>
      </c>
      <c r="E181" s="36" t="s">
        <v>338</v>
      </c>
      <c r="F181" s="36" t="s">
        <v>335</v>
      </c>
      <c r="G181" s="36">
        <v>1475627</v>
      </c>
      <c r="L181"/>
      <c r="M181"/>
    </row>
    <row r="182" spans="1:13" ht="14.4" x14ac:dyDescent="0.3">
      <c r="A182" s="36" t="s">
        <v>334</v>
      </c>
      <c r="B182" s="36" t="s">
        <v>337</v>
      </c>
      <c r="C182" s="36" t="s">
        <v>340</v>
      </c>
      <c r="D182" s="36" t="s">
        <v>326</v>
      </c>
      <c r="E182" s="36" t="s">
        <v>338</v>
      </c>
      <c r="F182" s="36" t="s">
        <v>336</v>
      </c>
      <c r="G182" s="36">
        <v>1345763</v>
      </c>
      <c r="L182"/>
      <c r="M182"/>
    </row>
    <row r="183" spans="1:13" ht="14.4" x14ac:dyDescent="0.3">
      <c r="A183" s="36" t="s">
        <v>329</v>
      </c>
      <c r="B183" s="36" t="s">
        <v>337</v>
      </c>
      <c r="C183" s="36" t="s">
        <v>331</v>
      </c>
      <c r="D183" s="36" t="s">
        <v>332</v>
      </c>
      <c r="E183" s="36" t="s">
        <v>327</v>
      </c>
      <c r="F183" s="36" t="s">
        <v>335</v>
      </c>
      <c r="G183" s="36">
        <v>953730</v>
      </c>
      <c r="L183"/>
      <c r="M183"/>
    </row>
    <row r="184" spans="1:13" ht="14.4" x14ac:dyDescent="0.3">
      <c r="A184" s="36" t="s">
        <v>323</v>
      </c>
      <c r="B184" s="36" t="s">
        <v>324</v>
      </c>
      <c r="C184" s="36" t="s">
        <v>331</v>
      </c>
      <c r="D184" s="36" t="s">
        <v>332</v>
      </c>
      <c r="E184" s="36" t="s">
        <v>333</v>
      </c>
      <c r="F184" s="36" t="s">
        <v>328</v>
      </c>
      <c r="G184" s="36">
        <v>798857</v>
      </c>
      <c r="L184"/>
      <c r="M184"/>
    </row>
    <row r="185" spans="1:13" ht="14.4" x14ac:dyDescent="0.3">
      <c r="A185" s="36" t="s">
        <v>329</v>
      </c>
      <c r="B185" s="36" t="s">
        <v>324</v>
      </c>
      <c r="C185" s="36" t="s">
        <v>331</v>
      </c>
      <c r="D185" s="36" t="s">
        <v>332</v>
      </c>
      <c r="E185" s="36" t="s">
        <v>333</v>
      </c>
      <c r="F185" s="36" t="s">
        <v>335</v>
      </c>
      <c r="G185" s="36">
        <v>786854</v>
      </c>
      <c r="L185"/>
      <c r="M185"/>
    </row>
    <row r="186" spans="1:13" ht="14.4" x14ac:dyDescent="0.3">
      <c r="A186" s="36" t="s">
        <v>323</v>
      </c>
      <c r="B186" s="36" t="s">
        <v>330</v>
      </c>
      <c r="C186" s="36" t="s">
        <v>340</v>
      </c>
      <c r="D186" s="36" t="s">
        <v>326</v>
      </c>
      <c r="E186" s="36" t="s">
        <v>338</v>
      </c>
      <c r="F186" s="36" t="s">
        <v>335</v>
      </c>
      <c r="G186" s="36">
        <v>908196</v>
      </c>
      <c r="L186"/>
      <c r="M186"/>
    </row>
    <row r="187" spans="1:13" ht="14.4" x14ac:dyDescent="0.3">
      <c r="A187" s="36" t="s">
        <v>329</v>
      </c>
      <c r="B187" s="36" t="s">
        <v>330</v>
      </c>
      <c r="C187" s="36" t="s">
        <v>325</v>
      </c>
      <c r="D187" s="36" t="s">
        <v>339</v>
      </c>
      <c r="E187" s="36" t="s">
        <v>333</v>
      </c>
      <c r="F187" s="36" t="s">
        <v>328</v>
      </c>
      <c r="G187" s="36">
        <v>608084</v>
      </c>
      <c r="L187"/>
      <c r="M187"/>
    </row>
    <row r="188" spans="1:13" ht="14.4" x14ac:dyDescent="0.3">
      <c r="A188" s="36" t="s">
        <v>334</v>
      </c>
      <c r="B188" s="36" t="s">
        <v>337</v>
      </c>
      <c r="C188" s="36" t="s">
        <v>325</v>
      </c>
      <c r="D188" s="36" t="s">
        <v>326</v>
      </c>
      <c r="E188" s="36" t="s">
        <v>327</v>
      </c>
      <c r="F188" s="36" t="s">
        <v>336</v>
      </c>
      <c r="G188" s="36">
        <v>1208406</v>
      </c>
      <c r="L188"/>
      <c r="M188"/>
    </row>
    <row r="189" spans="1:13" ht="14.4" x14ac:dyDescent="0.3">
      <c r="A189" s="36" t="s">
        <v>329</v>
      </c>
      <c r="B189" s="36" t="s">
        <v>324</v>
      </c>
      <c r="C189" s="36" t="s">
        <v>331</v>
      </c>
      <c r="D189" s="36" t="s">
        <v>339</v>
      </c>
      <c r="E189" s="36" t="s">
        <v>333</v>
      </c>
      <c r="F189" s="36" t="s">
        <v>335</v>
      </c>
      <c r="G189" s="36">
        <v>971795</v>
      </c>
      <c r="L189"/>
      <c r="M189"/>
    </row>
    <row r="190" spans="1:13" ht="14.4" x14ac:dyDescent="0.3">
      <c r="A190" s="36" t="s">
        <v>334</v>
      </c>
      <c r="B190" s="36" t="s">
        <v>324</v>
      </c>
      <c r="C190" s="36" t="s">
        <v>325</v>
      </c>
      <c r="D190" s="36" t="s">
        <v>332</v>
      </c>
      <c r="E190" s="36" t="s">
        <v>327</v>
      </c>
      <c r="F190" s="36" t="s">
        <v>335</v>
      </c>
      <c r="G190" s="36">
        <v>1214725</v>
      </c>
      <c r="L190"/>
      <c r="M190"/>
    </row>
    <row r="191" spans="1:13" ht="14.4" x14ac:dyDescent="0.3">
      <c r="A191" s="36" t="s">
        <v>334</v>
      </c>
      <c r="B191" s="36" t="s">
        <v>337</v>
      </c>
      <c r="C191" s="36" t="s">
        <v>340</v>
      </c>
      <c r="D191" s="36" t="s">
        <v>339</v>
      </c>
      <c r="E191" s="36" t="s">
        <v>327</v>
      </c>
      <c r="F191" s="36" t="s">
        <v>336</v>
      </c>
      <c r="G191" s="36">
        <v>1029234</v>
      </c>
      <c r="L191"/>
      <c r="M191"/>
    </row>
    <row r="192" spans="1:13" ht="14.4" x14ac:dyDescent="0.3">
      <c r="A192" s="36" t="s">
        <v>329</v>
      </c>
      <c r="B192" s="36" t="s">
        <v>337</v>
      </c>
      <c r="C192" s="36" t="s">
        <v>340</v>
      </c>
      <c r="D192" s="36" t="s">
        <v>326</v>
      </c>
      <c r="E192" s="36" t="s">
        <v>338</v>
      </c>
      <c r="F192" s="36" t="s">
        <v>335</v>
      </c>
      <c r="G192" s="36">
        <v>1318986</v>
      </c>
      <c r="L192"/>
      <c r="M192"/>
    </row>
    <row r="193" spans="1:13" ht="14.4" x14ac:dyDescent="0.3">
      <c r="A193" s="36" t="s">
        <v>329</v>
      </c>
      <c r="B193" s="36" t="s">
        <v>324</v>
      </c>
      <c r="C193" s="36" t="s">
        <v>331</v>
      </c>
      <c r="D193" s="36" t="s">
        <v>332</v>
      </c>
      <c r="E193" s="36" t="s">
        <v>338</v>
      </c>
      <c r="F193" s="36" t="s">
        <v>328</v>
      </c>
      <c r="G193" s="36">
        <v>979099</v>
      </c>
      <c r="L193"/>
      <c r="M193"/>
    </row>
    <row r="194" spans="1:13" ht="14.4" x14ac:dyDescent="0.3">
      <c r="A194" s="36" t="s">
        <v>329</v>
      </c>
      <c r="B194" s="36" t="s">
        <v>324</v>
      </c>
      <c r="C194" s="36" t="s">
        <v>340</v>
      </c>
      <c r="D194" s="36" t="s">
        <v>339</v>
      </c>
      <c r="E194" s="36" t="s">
        <v>338</v>
      </c>
      <c r="F194" s="36" t="s">
        <v>335</v>
      </c>
      <c r="G194" s="36">
        <v>945087</v>
      </c>
      <c r="L194"/>
      <c r="M194"/>
    </row>
    <row r="195" spans="1:13" ht="14.4" x14ac:dyDescent="0.3">
      <c r="A195" s="36" t="s">
        <v>334</v>
      </c>
      <c r="B195" s="36" t="s">
        <v>330</v>
      </c>
      <c r="C195" s="36" t="s">
        <v>325</v>
      </c>
      <c r="D195" s="36" t="s">
        <v>326</v>
      </c>
      <c r="E195" s="36" t="s">
        <v>338</v>
      </c>
      <c r="F195" s="36" t="s">
        <v>328</v>
      </c>
      <c r="G195" s="36">
        <v>912747</v>
      </c>
      <c r="L195"/>
      <c r="M195"/>
    </row>
    <row r="196" spans="1:13" ht="14.4" x14ac:dyDescent="0.3">
      <c r="A196" s="36" t="s">
        <v>323</v>
      </c>
      <c r="B196" s="36" t="s">
        <v>324</v>
      </c>
      <c r="C196" s="36" t="s">
        <v>325</v>
      </c>
      <c r="D196" s="36" t="s">
        <v>326</v>
      </c>
      <c r="E196" s="36" t="s">
        <v>338</v>
      </c>
      <c r="F196" s="36" t="s">
        <v>336</v>
      </c>
      <c r="G196" s="36">
        <v>1303574</v>
      </c>
      <c r="L196"/>
      <c r="M196"/>
    </row>
    <row r="197" spans="1:13" ht="14.4" x14ac:dyDescent="0.3">
      <c r="A197" s="36" t="s">
        <v>323</v>
      </c>
      <c r="B197" s="36" t="s">
        <v>324</v>
      </c>
      <c r="C197" s="36" t="s">
        <v>331</v>
      </c>
      <c r="D197" s="36" t="s">
        <v>332</v>
      </c>
      <c r="E197" s="36" t="s">
        <v>333</v>
      </c>
      <c r="F197" s="36" t="s">
        <v>328</v>
      </c>
      <c r="G197" s="36">
        <v>614036</v>
      </c>
      <c r="L197"/>
      <c r="M197"/>
    </row>
    <row r="198" spans="1:13" ht="14.4" x14ac:dyDescent="0.3">
      <c r="A198" s="36" t="s">
        <v>334</v>
      </c>
      <c r="B198" s="36" t="s">
        <v>324</v>
      </c>
      <c r="C198" s="36" t="s">
        <v>340</v>
      </c>
      <c r="D198" s="36" t="s">
        <v>339</v>
      </c>
      <c r="E198" s="36" t="s">
        <v>338</v>
      </c>
      <c r="F198" s="36" t="s">
        <v>336</v>
      </c>
      <c r="G198" s="36">
        <v>666688</v>
      </c>
      <c r="L198"/>
      <c r="M198"/>
    </row>
    <row r="199" spans="1:13" ht="14.4" x14ac:dyDescent="0.3">
      <c r="A199" s="36" t="s">
        <v>329</v>
      </c>
      <c r="B199" s="36" t="s">
        <v>337</v>
      </c>
      <c r="C199" s="36" t="s">
        <v>325</v>
      </c>
      <c r="D199" s="36" t="s">
        <v>326</v>
      </c>
      <c r="E199" s="36" t="s">
        <v>327</v>
      </c>
      <c r="F199" s="36" t="s">
        <v>328</v>
      </c>
      <c r="G199" s="36">
        <v>763702</v>
      </c>
      <c r="L199"/>
      <c r="M199"/>
    </row>
    <row r="200" spans="1:13" ht="14.4" x14ac:dyDescent="0.3">
      <c r="A200" s="36" t="s">
        <v>334</v>
      </c>
      <c r="B200" s="36" t="s">
        <v>324</v>
      </c>
      <c r="C200" s="36" t="s">
        <v>340</v>
      </c>
      <c r="D200" s="36" t="s">
        <v>339</v>
      </c>
      <c r="E200" s="36" t="s">
        <v>327</v>
      </c>
      <c r="F200" s="36" t="s">
        <v>328</v>
      </c>
      <c r="G200" s="36">
        <v>535257</v>
      </c>
      <c r="L200"/>
      <c r="M200"/>
    </row>
    <row r="201" spans="1:13" ht="14.4" x14ac:dyDescent="0.3">
      <c r="A201" s="36" t="s">
        <v>334</v>
      </c>
      <c r="B201" s="36" t="s">
        <v>324</v>
      </c>
      <c r="C201" s="36" t="s">
        <v>340</v>
      </c>
      <c r="D201" s="36" t="s">
        <v>339</v>
      </c>
      <c r="E201" s="36" t="s">
        <v>327</v>
      </c>
      <c r="F201" s="36" t="s">
        <v>328</v>
      </c>
      <c r="G201" s="36">
        <v>970345</v>
      </c>
      <c r="L201"/>
      <c r="M201"/>
    </row>
    <row r="202" spans="1:13" ht="14.4" x14ac:dyDescent="0.3">
      <c r="A202" s="36" t="s">
        <v>334</v>
      </c>
      <c r="B202" s="36" t="s">
        <v>337</v>
      </c>
      <c r="C202" s="36" t="s">
        <v>331</v>
      </c>
      <c r="D202" s="36" t="s">
        <v>332</v>
      </c>
      <c r="E202" s="36" t="s">
        <v>338</v>
      </c>
      <c r="F202" s="36" t="s">
        <v>336</v>
      </c>
      <c r="G202" s="36">
        <v>978337</v>
      </c>
      <c r="L202"/>
      <c r="M202"/>
    </row>
    <row r="203" spans="1:13" ht="14.4" x14ac:dyDescent="0.3">
      <c r="A203" s="36" t="s">
        <v>329</v>
      </c>
      <c r="B203" s="36" t="s">
        <v>324</v>
      </c>
      <c r="C203" s="36" t="s">
        <v>325</v>
      </c>
      <c r="D203" s="36" t="s">
        <v>326</v>
      </c>
      <c r="E203" s="36" t="s">
        <v>327</v>
      </c>
      <c r="F203" s="36" t="s">
        <v>328</v>
      </c>
      <c r="G203" s="36">
        <v>1467722</v>
      </c>
      <c r="L203"/>
      <c r="M203"/>
    </row>
    <row r="204" spans="1:13" ht="14.4" x14ac:dyDescent="0.3">
      <c r="L204"/>
      <c r="M204"/>
    </row>
    <row r="205" spans="1:13" ht="14.4" x14ac:dyDescent="0.3">
      <c r="L205"/>
      <c r="M205"/>
    </row>
    <row r="206" spans="1:13" ht="14.4" x14ac:dyDescent="0.3">
      <c r="L206"/>
      <c r="M206"/>
    </row>
    <row r="207" spans="1:13" ht="14.4" x14ac:dyDescent="0.3">
      <c r="L207"/>
      <c r="M207"/>
    </row>
    <row r="208" spans="1:13" ht="14.4" x14ac:dyDescent="0.3">
      <c r="L208"/>
      <c r="M208"/>
    </row>
    <row r="209" spans="12:13" ht="14.4" x14ac:dyDescent="0.3">
      <c r="L209"/>
      <c r="M209"/>
    </row>
    <row r="210" spans="12:13" ht="14.4" x14ac:dyDescent="0.3">
      <c r="L210"/>
      <c r="M210"/>
    </row>
    <row r="211" spans="12:13" ht="14.4" x14ac:dyDescent="0.3">
      <c r="L211"/>
      <c r="M211"/>
    </row>
    <row r="212" spans="12:13" ht="14.4" x14ac:dyDescent="0.3">
      <c r="L212"/>
      <c r="M212"/>
    </row>
    <row r="213" spans="12:13" ht="14.4" x14ac:dyDescent="0.3">
      <c r="L213"/>
      <c r="M213"/>
    </row>
    <row r="214" spans="12:13" ht="14.4" x14ac:dyDescent="0.3">
      <c r="L214"/>
      <c r="M214"/>
    </row>
    <row r="215" spans="12:13" ht="14.4" x14ac:dyDescent="0.3">
      <c r="L215"/>
      <c r="M215"/>
    </row>
    <row r="216" spans="12:13" ht="14.4" x14ac:dyDescent="0.3">
      <c r="L216"/>
      <c r="M216"/>
    </row>
    <row r="217" spans="12:13" ht="14.4" x14ac:dyDescent="0.3">
      <c r="L217"/>
      <c r="M217"/>
    </row>
    <row r="218" spans="12:13" ht="14.4" x14ac:dyDescent="0.3">
      <c r="L218"/>
      <c r="M218"/>
    </row>
    <row r="219" spans="12:13" ht="14.4" x14ac:dyDescent="0.3">
      <c r="L219"/>
      <c r="M219"/>
    </row>
    <row r="220" spans="12:13" ht="14.4" x14ac:dyDescent="0.3">
      <c r="L220"/>
      <c r="M220"/>
    </row>
    <row r="221" spans="12:13" ht="14.4" x14ac:dyDescent="0.3">
      <c r="L221"/>
      <c r="M221"/>
    </row>
    <row r="222" spans="12:13" ht="14.4" x14ac:dyDescent="0.3">
      <c r="L222"/>
      <c r="M222"/>
    </row>
    <row r="223" spans="12:13" ht="14.4" x14ac:dyDescent="0.3">
      <c r="L223"/>
      <c r="M223"/>
    </row>
    <row r="224" spans="12:13" ht="14.4" x14ac:dyDescent="0.3">
      <c r="L224"/>
      <c r="M224"/>
    </row>
    <row r="225" spans="12:13" ht="14.4" x14ac:dyDescent="0.3">
      <c r="L225"/>
      <c r="M225"/>
    </row>
    <row r="226" spans="12:13" ht="14.4" x14ac:dyDescent="0.3">
      <c r="L226"/>
      <c r="M226"/>
    </row>
    <row r="227" spans="12:13" ht="14.4" x14ac:dyDescent="0.3">
      <c r="L227"/>
      <c r="M227"/>
    </row>
    <row r="228" spans="12:13" ht="14.4" x14ac:dyDescent="0.3">
      <c r="L228"/>
      <c r="M228"/>
    </row>
    <row r="229" spans="12:13" ht="14.4" x14ac:dyDescent="0.3">
      <c r="L229"/>
      <c r="M229"/>
    </row>
    <row r="230" spans="12:13" ht="14.4" x14ac:dyDescent="0.3">
      <c r="L230"/>
      <c r="M230"/>
    </row>
    <row r="231" spans="12:13" ht="14.4" x14ac:dyDescent="0.3">
      <c r="L231"/>
      <c r="M231"/>
    </row>
    <row r="232" spans="12:13" ht="14.4" x14ac:dyDescent="0.3">
      <c r="L232"/>
      <c r="M232"/>
    </row>
    <row r="233" spans="12:13" ht="14.4" x14ac:dyDescent="0.3">
      <c r="L233"/>
      <c r="M233"/>
    </row>
    <row r="234" spans="12:13" ht="14.4" x14ac:dyDescent="0.3">
      <c r="L234"/>
      <c r="M234"/>
    </row>
    <row r="235" spans="12:13" ht="14.4" x14ac:dyDescent="0.3">
      <c r="L235"/>
      <c r="M235"/>
    </row>
    <row r="236" spans="12:13" ht="14.4" x14ac:dyDescent="0.3">
      <c r="L236"/>
      <c r="M236"/>
    </row>
    <row r="237" spans="12:13" ht="14.4" x14ac:dyDescent="0.3">
      <c r="L237"/>
      <c r="M237"/>
    </row>
    <row r="238" spans="12:13" ht="14.4" x14ac:dyDescent="0.3">
      <c r="L238"/>
      <c r="M238"/>
    </row>
    <row r="239" spans="12:13" ht="14.4" x14ac:dyDescent="0.3">
      <c r="L239"/>
      <c r="M239"/>
    </row>
    <row r="240" spans="12:13" ht="14.4" x14ac:dyDescent="0.3">
      <c r="L240"/>
      <c r="M240"/>
    </row>
    <row r="241" spans="12:13" ht="14.4" x14ac:dyDescent="0.3">
      <c r="L241"/>
      <c r="M241"/>
    </row>
    <row r="242" spans="12:13" ht="14.4" x14ac:dyDescent="0.3">
      <c r="L242"/>
      <c r="M242"/>
    </row>
    <row r="243" spans="12:13" ht="14.4" x14ac:dyDescent="0.3">
      <c r="L243"/>
      <c r="M243"/>
    </row>
    <row r="244" spans="12:13" ht="14.4" x14ac:dyDescent="0.3">
      <c r="L244"/>
      <c r="M244"/>
    </row>
    <row r="245" spans="12:13" ht="14.4" x14ac:dyDescent="0.3">
      <c r="L245"/>
      <c r="M245"/>
    </row>
    <row r="246" spans="12:13" ht="14.4" x14ac:dyDescent="0.3">
      <c r="L246"/>
      <c r="M246"/>
    </row>
    <row r="247" spans="12:13" ht="14.4" x14ac:dyDescent="0.3">
      <c r="L247"/>
      <c r="M247"/>
    </row>
    <row r="248" spans="12:13" ht="14.4" x14ac:dyDescent="0.3">
      <c r="L248"/>
      <c r="M248"/>
    </row>
    <row r="249" spans="12:13" ht="14.4" x14ac:dyDescent="0.3">
      <c r="L249"/>
      <c r="M249"/>
    </row>
    <row r="250" spans="12:13" ht="14.4" x14ac:dyDescent="0.3">
      <c r="L250"/>
      <c r="M250"/>
    </row>
    <row r="251" spans="12:13" ht="14.4" x14ac:dyDescent="0.3">
      <c r="L251"/>
      <c r="M251"/>
    </row>
    <row r="252" spans="12:13" ht="14.4" x14ac:dyDescent="0.3">
      <c r="L252"/>
      <c r="M252"/>
    </row>
    <row r="253" spans="12:13" ht="14.4" x14ac:dyDescent="0.3">
      <c r="L253"/>
      <c r="M253"/>
    </row>
    <row r="254" spans="12:13" ht="14.4" x14ac:dyDescent="0.3">
      <c r="L254"/>
      <c r="M254"/>
    </row>
    <row r="255" spans="12:13" ht="14.4" x14ac:dyDescent="0.3">
      <c r="L255"/>
      <c r="M255"/>
    </row>
    <row r="256" spans="12:13" ht="14.4" x14ac:dyDescent="0.3">
      <c r="L256"/>
      <c r="M256"/>
    </row>
    <row r="257" spans="12:13" ht="14.4" x14ac:dyDescent="0.3">
      <c r="L257"/>
      <c r="M257"/>
    </row>
    <row r="258" spans="12:13" ht="14.4" x14ac:dyDescent="0.3">
      <c r="L258"/>
      <c r="M258"/>
    </row>
    <row r="259" spans="12:13" ht="12.75" customHeight="1" x14ac:dyDescent="0.3"/>
    <row r="260" spans="12:13" ht="12.75" customHeight="1" x14ac:dyDescent="0.3"/>
    <row r="261" spans="12:13" ht="12.75" customHeight="1" x14ac:dyDescent="0.3"/>
    <row r="262" spans="12:13" ht="12.75" customHeight="1" x14ac:dyDescent="0.3"/>
    <row r="263" spans="12:13" ht="12.75" customHeight="1" x14ac:dyDescent="0.3"/>
    <row r="264" spans="12:13" ht="12.75" customHeight="1" x14ac:dyDescent="0.3"/>
    <row r="265" spans="12:13" ht="12.75" customHeight="1" x14ac:dyDescent="0.3"/>
    <row r="266" spans="12:13" ht="12.75" customHeight="1" x14ac:dyDescent="0.3"/>
    <row r="267" spans="12:13" ht="12.75" customHeight="1" x14ac:dyDescent="0.3"/>
    <row r="268" spans="12:13" ht="12.75" customHeight="1" x14ac:dyDescent="0.3"/>
    <row r="269" spans="12:13" ht="12.75" customHeight="1" x14ac:dyDescent="0.3"/>
    <row r="270" spans="12:13" ht="12.75" customHeight="1" x14ac:dyDescent="0.3"/>
    <row r="271" spans="12:13" ht="12.75" customHeight="1" x14ac:dyDescent="0.3"/>
    <row r="272" spans="12:13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0"/>
  </sheetPr>
  <dimension ref="A5:M999"/>
  <sheetViews>
    <sheetView workbookViewId="0">
      <selection activeCell="C31" sqref="C31"/>
    </sheetView>
  </sheetViews>
  <sheetFormatPr baseColWidth="10" defaultColWidth="14.44140625" defaultRowHeight="15" customHeight="1" x14ac:dyDescent="0.3"/>
  <cols>
    <col min="1" max="1" width="10.6640625" customWidth="1"/>
    <col min="2" max="2" width="21.5546875" customWidth="1"/>
    <col min="3" max="3" width="12" customWidth="1"/>
    <col min="4" max="6" width="10.6640625" customWidth="1"/>
    <col min="7" max="7" width="13.33203125" customWidth="1"/>
    <col min="8" max="8" width="15.33203125" customWidth="1"/>
    <col min="9" max="9" width="11.5546875" customWidth="1"/>
    <col min="10" max="10" width="18.6640625" customWidth="1"/>
    <col min="11" max="12" width="10.6640625" customWidth="1"/>
    <col min="13" max="13" width="14.33203125" customWidth="1"/>
    <col min="14" max="26" width="10.6640625" customWidth="1"/>
  </cols>
  <sheetData>
    <row r="5" spans="1:13" ht="14.4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4.4" x14ac:dyDescent="0.3">
      <c r="A6" s="1">
        <v>1</v>
      </c>
      <c r="B6" s="1" t="s">
        <v>13</v>
      </c>
      <c r="C6" s="1"/>
      <c r="D6" s="1" t="s">
        <v>14</v>
      </c>
      <c r="E6" s="1" t="s">
        <v>15</v>
      </c>
      <c r="F6" s="1">
        <v>35</v>
      </c>
      <c r="G6" s="1" t="s">
        <v>16</v>
      </c>
      <c r="H6" s="1">
        <v>4500</v>
      </c>
      <c r="I6" s="1" t="s">
        <v>17</v>
      </c>
      <c r="J6" s="1" t="s">
        <v>18</v>
      </c>
      <c r="K6" s="1">
        <v>225</v>
      </c>
      <c r="L6" s="1">
        <v>315.00000000000006</v>
      </c>
      <c r="M6" s="1">
        <v>4590</v>
      </c>
    </row>
    <row r="7" spans="1:13" ht="14.4" x14ac:dyDescent="0.3">
      <c r="A7" s="1">
        <v>2</v>
      </c>
      <c r="B7" s="1" t="s">
        <v>19</v>
      </c>
      <c r="C7" s="1"/>
      <c r="D7" s="1" t="s">
        <v>14</v>
      </c>
      <c r="E7" s="1" t="s">
        <v>20</v>
      </c>
      <c r="F7" s="1">
        <v>25</v>
      </c>
      <c r="G7" s="1" t="s">
        <v>16</v>
      </c>
      <c r="H7" s="1">
        <v>1500</v>
      </c>
      <c r="I7" s="1" t="s">
        <v>17</v>
      </c>
      <c r="J7" s="1" t="s">
        <v>21</v>
      </c>
      <c r="K7" s="1">
        <v>75</v>
      </c>
      <c r="L7" s="1">
        <v>105.00000000000001</v>
      </c>
      <c r="M7" s="1">
        <v>1530</v>
      </c>
    </row>
    <row r="8" spans="1:13" ht="14.4" x14ac:dyDescent="0.3">
      <c r="A8" s="1">
        <v>3</v>
      </c>
      <c r="B8" s="1" t="s">
        <v>22</v>
      </c>
      <c r="C8" s="1"/>
      <c r="D8" s="1" t="s">
        <v>23</v>
      </c>
      <c r="E8" s="1" t="s">
        <v>15</v>
      </c>
      <c r="F8" s="1">
        <v>22</v>
      </c>
      <c r="G8" s="1" t="s">
        <v>24</v>
      </c>
      <c r="H8" s="1">
        <v>200</v>
      </c>
      <c r="I8" s="1" t="s">
        <v>17</v>
      </c>
      <c r="J8" s="1" t="s">
        <v>21</v>
      </c>
      <c r="K8" s="1">
        <v>10</v>
      </c>
      <c r="L8" s="1">
        <v>14.000000000000002</v>
      </c>
      <c r="M8" s="1">
        <v>204</v>
      </c>
    </row>
    <row r="9" spans="1:13" ht="14.4" x14ac:dyDescent="0.3">
      <c r="A9" s="1">
        <v>4</v>
      </c>
      <c r="B9" s="1" t="s">
        <v>25</v>
      </c>
      <c r="C9" s="1"/>
      <c r="D9" s="1" t="s">
        <v>23</v>
      </c>
      <c r="E9" s="1" t="s">
        <v>15</v>
      </c>
      <c r="F9" s="1">
        <v>26</v>
      </c>
      <c r="G9" s="1" t="s">
        <v>24</v>
      </c>
      <c r="H9" s="1">
        <v>800</v>
      </c>
      <c r="I9" s="1" t="s">
        <v>17</v>
      </c>
      <c r="J9" s="1" t="s">
        <v>21</v>
      </c>
      <c r="K9" s="1">
        <v>40</v>
      </c>
      <c r="L9" s="1">
        <v>56.000000000000007</v>
      </c>
      <c r="M9" s="1">
        <v>816</v>
      </c>
    </row>
    <row r="10" spans="1:13" ht="14.4" x14ac:dyDescent="0.3">
      <c r="A10" s="1">
        <v>5</v>
      </c>
      <c r="B10" s="1" t="s">
        <v>26</v>
      </c>
      <c r="C10" s="1"/>
      <c r="D10" s="1" t="s">
        <v>23</v>
      </c>
      <c r="E10" s="1" t="s">
        <v>15</v>
      </c>
      <c r="F10" s="1">
        <v>34</v>
      </c>
      <c r="G10" s="1" t="s">
        <v>27</v>
      </c>
      <c r="H10" s="1">
        <v>1500</v>
      </c>
      <c r="I10" s="1" t="s">
        <v>17</v>
      </c>
      <c r="J10" s="1" t="s">
        <v>21</v>
      </c>
      <c r="K10" s="1">
        <v>75</v>
      </c>
      <c r="L10" s="1">
        <v>105.00000000000001</v>
      </c>
      <c r="M10" s="1">
        <v>1530</v>
      </c>
    </row>
    <row r="11" spans="1:13" ht="14.4" x14ac:dyDescent="0.3">
      <c r="A11" s="1">
        <v>6</v>
      </c>
      <c r="B11" s="1" t="s">
        <v>28</v>
      </c>
      <c r="C11" s="1"/>
      <c r="D11" s="1" t="s">
        <v>29</v>
      </c>
      <c r="E11" s="1" t="s">
        <v>20</v>
      </c>
      <c r="F11" s="1">
        <v>30</v>
      </c>
      <c r="G11" s="1" t="s">
        <v>16</v>
      </c>
      <c r="H11" s="1">
        <v>200</v>
      </c>
      <c r="I11" s="1" t="s">
        <v>17</v>
      </c>
      <c r="J11" s="1" t="s">
        <v>21</v>
      </c>
      <c r="K11" s="1">
        <v>10</v>
      </c>
      <c r="L11" s="1">
        <v>14.000000000000002</v>
      </c>
      <c r="M11" s="1">
        <v>204</v>
      </c>
    </row>
    <row r="12" spans="1:13" ht="14.4" x14ac:dyDescent="0.3">
      <c r="A12" s="1">
        <v>7</v>
      </c>
      <c r="B12" s="1" t="s">
        <v>30</v>
      </c>
      <c r="C12" s="1"/>
      <c r="D12" s="1" t="s">
        <v>29</v>
      </c>
      <c r="E12" s="1" t="s">
        <v>15</v>
      </c>
      <c r="F12" s="1">
        <v>27</v>
      </c>
      <c r="G12" s="1" t="s">
        <v>24</v>
      </c>
      <c r="H12" s="1">
        <v>1600</v>
      </c>
      <c r="I12" s="1" t="s">
        <v>17</v>
      </c>
      <c r="J12" s="1" t="s">
        <v>21</v>
      </c>
      <c r="K12" s="1">
        <v>80</v>
      </c>
      <c r="L12" s="1">
        <v>112.00000000000001</v>
      </c>
      <c r="M12" s="1">
        <v>1632</v>
      </c>
    </row>
    <row r="13" spans="1:13" ht="14.4" x14ac:dyDescent="0.3">
      <c r="A13" s="1">
        <v>8</v>
      </c>
      <c r="B13" s="1" t="s">
        <v>31</v>
      </c>
      <c r="C13" s="1"/>
      <c r="D13" s="1" t="s">
        <v>32</v>
      </c>
      <c r="E13" s="1" t="s">
        <v>15</v>
      </c>
      <c r="F13" s="1">
        <v>26</v>
      </c>
      <c r="G13" s="1" t="s">
        <v>16</v>
      </c>
      <c r="H13" s="1">
        <v>900</v>
      </c>
      <c r="I13" s="1" t="s">
        <v>17</v>
      </c>
      <c r="J13" s="1" t="s">
        <v>21</v>
      </c>
      <c r="K13" s="1">
        <v>45</v>
      </c>
      <c r="L13" s="1">
        <v>63.000000000000007</v>
      </c>
      <c r="M13" s="1">
        <v>918</v>
      </c>
    </row>
    <row r="14" spans="1:13" ht="14.4" x14ac:dyDescent="0.3">
      <c r="A14" s="1">
        <v>9</v>
      </c>
      <c r="B14" s="1" t="s">
        <v>33</v>
      </c>
      <c r="C14" s="1"/>
      <c r="D14" s="1" t="s">
        <v>32</v>
      </c>
      <c r="E14" s="1" t="s">
        <v>15</v>
      </c>
      <c r="F14" s="1">
        <v>28</v>
      </c>
      <c r="G14" s="1" t="s">
        <v>16</v>
      </c>
      <c r="H14" s="1">
        <v>1400</v>
      </c>
      <c r="I14" s="1" t="s">
        <v>17</v>
      </c>
      <c r="J14" s="1" t="s">
        <v>21</v>
      </c>
      <c r="K14" s="1">
        <v>70</v>
      </c>
      <c r="L14" s="1">
        <v>98.000000000000014</v>
      </c>
      <c r="M14" s="1">
        <v>1428</v>
      </c>
    </row>
    <row r="15" spans="1:13" ht="14.4" x14ac:dyDescent="0.3">
      <c r="A15" s="1">
        <v>10</v>
      </c>
      <c r="B15" s="1" t="s">
        <v>34</v>
      </c>
      <c r="C15" s="1"/>
      <c r="D15" s="1" t="s">
        <v>32</v>
      </c>
      <c r="E15" s="1" t="s">
        <v>15</v>
      </c>
      <c r="F15" s="1">
        <v>18</v>
      </c>
      <c r="G15" s="1" t="s">
        <v>24</v>
      </c>
      <c r="H15" s="1">
        <v>1450</v>
      </c>
      <c r="I15" s="1" t="s">
        <v>17</v>
      </c>
      <c r="J15" s="1" t="s">
        <v>21</v>
      </c>
      <c r="K15" s="1">
        <v>72.5</v>
      </c>
      <c r="L15" s="1">
        <v>101.50000000000001</v>
      </c>
      <c r="M15" s="1">
        <v>1479</v>
      </c>
    </row>
    <row r="16" spans="1:13" ht="14.4" x14ac:dyDescent="0.3">
      <c r="A16" s="1">
        <v>11</v>
      </c>
      <c r="B16" s="1" t="s">
        <v>35</v>
      </c>
      <c r="C16" s="1"/>
      <c r="D16" s="1" t="s">
        <v>32</v>
      </c>
      <c r="E16" s="1" t="s">
        <v>15</v>
      </c>
      <c r="F16" s="1">
        <v>36</v>
      </c>
      <c r="G16" s="1" t="s">
        <v>24</v>
      </c>
      <c r="H16" s="1">
        <v>100</v>
      </c>
      <c r="I16" s="1" t="s">
        <v>17</v>
      </c>
      <c r="J16" s="1" t="s">
        <v>21</v>
      </c>
      <c r="K16" s="1">
        <v>5</v>
      </c>
      <c r="L16" s="1">
        <v>7.0000000000000009</v>
      </c>
      <c r="M16" s="1">
        <v>102</v>
      </c>
    </row>
    <row r="17" spans="1:13" ht="14.4" x14ac:dyDescent="0.3">
      <c r="A17" s="1">
        <v>12</v>
      </c>
      <c r="B17" s="1" t="s">
        <v>36</v>
      </c>
      <c r="C17" s="1"/>
      <c r="D17" s="1" t="s">
        <v>32</v>
      </c>
      <c r="E17" s="1" t="s">
        <v>20</v>
      </c>
      <c r="F17" s="1">
        <v>28</v>
      </c>
      <c r="G17" s="1" t="s">
        <v>27</v>
      </c>
      <c r="H17" s="1">
        <v>850</v>
      </c>
      <c r="I17" s="1" t="s">
        <v>17</v>
      </c>
      <c r="J17" s="1" t="s">
        <v>21</v>
      </c>
      <c r="K17" s="1">
        <v>42.5</v>
      </c>
      <c r="L17" s="1">
        <v>59.500000000000007</v>
      </c>
      <c r="M17" s="1">
        <v>867</v>
      </c>
    </row>
    <row r="18" spans="1:13" ht="14.4" x14ac:dyDescent="0.3">
      <c r="A18" s="1">
        <v>13</v>
      </c>
      <c r="B18" s="1" t="s">
        <v>37</v>
      </c>
      <c r="C18" s="1"/>
      <c r="D18" s="1" t="s">
        <v>38</v>
      </c>
      <c r="E18" s="1" t="s">
        <v>15</v>
      </c>
      <c r="F18" s="1">
        <v>25</v>
      </c>
      <c r="G18" s="1" t="s">
        <v>16</v>
      </c>
      <c r="H18" s="1">
        <v>950</v>
      </c>
      <c r="I18" s="1" t="s">
        <v>39</v>
      </c>
      <c r="J18" s="1" t="s">
        <v>21</v>
      </c>
      <c r="K18" s="1">
        <v>47.5</v>
      </c>
      <c r="L18" s="1">
        <v>66.5</v>
      </c>
      <c r="M18" s="1">
        <v>969</v>
      </c>
    </row>
    <row r="19" spans="1:13" ht="14.4" x14ac:dyDescent="0.3">
      <c r="A19" s="1">
        <v>14</v>
      </c>
      <c r="B19" s="1" t="s">
        <v>40</v>
      </c>
      <c r="C19" s="1"/>
      <c r="D19" s="1" t="s">
        <v>38</v>
      </c>
      <c r="E19" s="1" t="s">
        <v>15</v>
      </c>
      <c r="F19" s="1">
        <v>17</v>
      </c>
      <c r="G19" s="1" t="s">
        <v>16</v>
      </c>
      <c r="H19" s="1">
        <v>100</v>
      </c>
      <c r="I19" s="1" t="s">
        <v>39</v>
      </c>
      <c r="J19" s="1" t="s">
        <v>21</v>
      </c>
      <c r="K19" s="1">
        <v>5</v>
      </c>
      <c r="L19" s="1">
        <v>7.0000000000000009</v>
      </c>
      <c r="M19" s="1">
        <v>102</v>
      </c>
    </row>
    <row r="20" spans="1:13" ht="15.75" customHeight="1" x14ac:dyDescent="0.3">
      <c r="A20" s="1">
        <v>15</v>
      </c>
      <c r="B20" s="1" t="s">
        <v>41</v>
      </c>
      <c r="C20" s="1"/>
      <c r="D20" s="1" t="s">
        <v>38</v>
      </c>
      <c r="E20" s="1" t="s">
        <v>15</v>
      </c>
      <c r="F20" s="1">
        <v>32</v>
      </c>
      <c r="G20" s="1" t="s">
        <v>24</v>
      </c>
      <c r="H20" s="1">
        <v>1700</v>
      </c>
      <c r="I20" s="1" t="s">
        <v>39</v>
      </c>
      <c r="J20" s="1" t="s">
        <v>21</v>
      </c>
      <c r="K20" s="1">
        <v>85</v>
      </c>
      <c r="L20" s="1">
        <v>119.00000000000001</v>
      </c>
      <c r="M20" s="1">
        <v>1734</v>
      </c>
    </row>
    <row r="21" spans="1:13" ht="15.75" customHeight="1" x14ac:dyDescent="0.3">
      <c r="A21" s="1">
        <v>16</v>
      </c>
      <c r="B21" s="1" t="s">
        <v>42</v>
      </c>
      <c r="C21" s="1"/>
      <c r="D21" s="1" t="s">
        <v>38</v>
      </c>
      <c r="E21" s="1" t="s">
        <v>20</v>
      </c>
      <c r="F21" s="1">
        <v>33</v>
      </c>
      <c r="G21" s="1" t="s">
        <v>24</v>
      </c>
      <c r="H21" s="1">
        <v>900</v>
      </c>
      <c r="I21" s="1" t="s">
        <v>39</v>
      </c>
      <c r="J21" s="1" t="s">
        <v>21</v>
      </c>
      <c r="K21" s="1">
        <v>45</v>
      </c>
      <c r="L21" s="1">
        <v>63.000000000000007</v>
      </c>
      <c r="M21" s="1">
        <v>918</v>
      </c>
    </row>
    <row r="22" spans="1:13" ht="15.75" customHeight="1" x14ac:dyDescent="0.3">
      <c r="A22" s="1">
        <v>17</v>
      </c>
      <c r="B22" s="1" t="s">
        <v>43</v>
      </c>
      <c r="C22" s="1"/>
      <c r="D22" s="1" t="s">
        <v>38</v>
      </c>
      <c r="E22" s="1" t="s">
        <v>20</v>
      </c>
      <c r="F22" s="1">
        <v>16</v>
      </c>
      <c r="G22" s="1" t="s">
        <v>27</v>
      </c>
      <c r="H22" s="1">
        <v>1000</v>
      </c>
      <c r="I22" s="1" t="s">
        <v>39</v>
      </c>
      <c r="J22" s="1" t="s">
        <v>21</v>
      </c>
      <c r="K22" s="1">
        <v>50</v>
      </c>
      <c r="L22" s="1">
        <v>70</v>
      </c>
      <c r="M22" s="1">
        <v>1020</v>
      </c>
    </row>
    <row r="23" spans="1:13" ht="15.75" customHeight="1" x14ac:dyDescent="0.3">
      <c r="A23" s="1">
        <v>18</v>
      </c>
      <c r="B23" s="1" t="s">
        <v>44</v>
      </c>
      <c r="C23" s="1"/>
      <c r="D23" s="1" t="s">
        <v>38</v>
      </c>
      <c r="E23" s="1" t="s">
        <v>15</v>
      </c>
      <c r="F23" s="1">
        <v>26</v>
      </c>
      <c r="G23" s="1" t="s">
        <v>16</v>
      </c>
      <c r="H23" s="1">
        <v>4500</v>
      </c>
      <c r="I23" s="1" t="s">
        <v>39</v>
      </c>
      <c r="J23" s="1" t="s">
        <v>18</v>
      </c>
      <c r="K23" s="1">
        <v>225</v>
      </c>
      <c r="L23" s="1">
        <v>315.00000000000006</v>
      </c>
      <c r="M23" s="1">
        <v>4590</v>
      </c>
    </row>
    <row r="24" spans="1:13" ht="15.75" customHeight="1" x14ac:dyDescent="0.3"/>
    <row r="25" spans="1:13" ht="15.75" customHeight="1" x14ac:dyDescent="0.3"/>
    <row r="26" spans="1:13" ht="15.75" customHeight="1" x14ac:dyDescent="0.35">
      <c r="B26" s="52" t="s">
        <v>45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</row>
    <row r="27" spans="1:13" ht="15.75" customHeight="1" x14ac:dyDescent="0.35">
      <c r="B27" s="54" t="s">
        <v>296</v>
      </c>
      <c r="C27" s="53"/>
      <c r="D27" s="53"/>
      <c r="E27" s="53"/>
      <c r="F27" s="53"/>
      <c r="G27" s="53"/>
      <c r="H27" s="53"/>
      <c r="I27" s="53"/>
      <c r="J27" s="53"/>
      <c r="K27" s="53"/>
    </row>
    <row r="28" spans="1:13" ht="15.75" customHeight="1" x14ac:dyDescent="0.3"/>
    <row r="29" spans="1:13" ht="15.75" customHeight="1" x14ac:dyDescent="0.3"/>
    <row r="30" spans="1:13" ht="15.75" customHeight="1" x14ac:dyDescent="0.3"/>
    <row r="31" spans="1:13" ht="15.75" customHeight="1" x14ac:dyDescent="0.3"/>
    <row r="32" spans="1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2">
    <mergeCell ref="B26:M26"/>
    <mergeCell ref="B27:K27"/>
  </mergeCells>
  <pageMargins left="0.7" right="0.7" top="0.75" bottom="0.75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P_1</vt:lpstr>
      <vt:lpstr>P_2</vt:lpstr>
      <vt:lpstr>P_3</vt:lpstr>
      <vt:lpstr>Hoja2</vt:lpstr>
      <vt:lpstr>P_4</vt:lpstr>
      <vt:lpstr>P_5</vt:lpstr>
      <vt:lpstr>P_3!Criterios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Stefanny Salas Jimenez</cp:lastModifiedBy>
  <dcterms:created xsi:type="dcterms:W3CDTF">2023-11-25T13:51:32Z</dcterms:created>
  <dcterms:modified xsi:type="dcterms:W3CDTF">2026-02-22T16:17:27Z</dcterms:modified>
</cp:coreProperties>
</file>