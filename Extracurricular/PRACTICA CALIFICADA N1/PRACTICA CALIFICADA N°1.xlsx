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tefa\Desktop\"/>
    </mc:Choice>
  </mc:AlternateContent>
  <xr:revisionPtr revIDLastSave="0" documentId="13_ncr:1_{28CC9071-70C0-4DF9-B1B7-F4731E6467D3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GRAFICA DE FUNCIONES" sheetId="25" r:id="rId1"/>
    <sheet name="FORMATO_CONDICIONAL" sheetId="22" r:id="rId2"/>
    <sheet name="FUNCION_SUMAR" sheetId="5" r:id="rId3"/>
    <sheet name="Hoja1" sheetId="27" state="hidden" r:id="rId4"/>
    <sheet name="BUSCAR_H BUSCAR_V" sheetId="21" r:id="rId5"/>
  </sheets>
  <externalReferences>
    <externalReference r:id="rId6"/>
  </externalReferences>
  <definedNames>
    <definedName name="ANDALUCÍA">#REF!</definedName>
    <definedName name="DATOS">[1]Hoja1!$A$7,[1]Hoja1!$A$8,[1]Hoja1!$A$9</definedName>
    <definedName name="OCCIDENTAL">#REF!</definedName>
    <definedName name="ORIENTA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1" i="5" l="1" a="1"/>
  <c r="K11" i="5" s="1"/>
  <c r="L11" i="5" a="1"/>
  <c r="L11" i="5" s="1"/>
  <c r="M11" i="5" a="1"/>
  <c r="M11" i="5" s="1"/>
  <c r="N11" i="5" a="1"/>
  <c r="N11" i="5" s="1"/>
  <c r="J11" i="5" a="1"/>
  <c r="J11" i="5" s="1"/>
  <c r="H13" i="5"/>
  <c r="H14" i="5"/>
  <c r="H15" i="5"/>
  <c r="H16" i="5"/>
  <c r="H17" i="5"/>
  <c r="H18" i="5"/>
  <c r="H19" i="5"/>
  <c r="H20" i="5"/>
  <c r="H21" i="5"/>
  <c r="H22" i="5"/>
  <c r="H23" i="5"/>
  <c r="H12" i="5"/>
  <c r="P12" i="22"/>
  <c r="P13" i="22"/>
  <c r="P11" i="22"/>
  <c r="AF8" i="25"/>
  <c r="D8" i="25"/>
  <c r="E8" i="25"/>
  <c r="F8" i="25"/>
  <c r="G8" i="25"/>
  <c r="H8" i="25"/>
  <c r="I8" i="25"/>
  <c r="J8" i="25"/>
  <c r="K8" i="25"/>
  <c r="L8" i="25"/>
  <c r="M8" i="25"/>
  <c r="N8" i="25"/>
  <c r="O8" i="25"/>
  <c r="P8" i="25"/>
  <c r="Q8" i="25"/>
  <c r="R8" i="25"/>
  <c r="S8" i="25"/>
  <c r="T8" i="25"/>
  <c r="U8" i="25"/>
  <c r="V8" i="25"/>
  <c r="W8" i="25"/>
  <c r="X8" i="25"/>
  <c r="Y8" i="25"/>
  <c r="Z8" i="25"/>
  <c r="AA8" i="25"/>
  <c r="AB8" i="25"/>
  <c r="AC8" i="25"/>
  <c r="AD8" i="25"/>
  <c r="AE8" i="25"/>
  <c r="C8" i="25"/>
  <c r="P7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soporte</author>
    <author>JAVIER</author>
  </authors>
  <commentList>
    <comment ref="J10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soporte:</t>
        </r>
        <r>
          <rPr>
            <sz val="9"/>
            <color indexed="81"/>
            <rFont val="Tahoma"/>
            <family val="2"/>
          </rPr>
          <t xml:space="preserve">
CREAR UNA LISTA DESPLEGABLE CON RESPECTO A LOS PRODUCTOS</t>
        </r>
      </text>
    </comment>
    <comment ref="K10" authorId="1" shapeId="0" xr:uid="{36310E2B-33C0-433D-B668-375A9247BCA0}">
      <text>
        <r>
          <rPr>
            <b/>
            <sz val="9"/>
            <color indexed="81"/>
            <rFont val="Tahoma"/>
            <charset val="1"/>
          </rPr>
          <t>JAVIER:</t>
        </r>
        <r>
          <rPr>
            <sz val="9"/>
            <color indexed="81"/>
            <rFont val="Tahoma"/>
            <charset val="1"/>
          </rPr>
          <t xml:space="preserve">
Las ventas según PRODUCTOS en enero</t>
        </r>
      </text>
    </comment>
    <comment ref="L10" authorId="1" shapeId="0" xr:uid="{A77EEC48-30BD-4E8F-83C5-A2A453A9DD5C}">
      <text>
        <r>
          <rPr>
            <b/>
            <sz val="9"/>
            <color indexed="81"/>
            <rFont val="Tahoma"/>
            <charset val="1"/>
          </rPr>
          <t>JAVIER:</t>
        </r>
        <r>
          <rPr>
            <sz val="9"/>
            <color indexed="81"/>
            <rFont val="Tahoma"/>
            <charset val="1"/>
          </rPr>
          <t xml:space="preserve">
las ventas según PRODUCTO en febrero</t>
        </r>
      </text>
    </comment>
    <comment ref="M10" authorId="1" shapeId="0" xr:uid="{66E58E7B-2BD7-4665-9F89-DD1264AAADB8}">
      <text>
        <r>
          <rPr>
            <b/>
            <sz val="9"/>
            <color indexed="81"/>
            <rFont val="Tahoma"/>
            <charset val="1"/>
          </rPr>
          <t>JAVIER:</t>
        </r>
        <r>
          <rPr>
            <sz val="9"/>
            <color indexed="81"/>
            <rFont val="Tahoma"/>
            <charset val="1"/>
          </rPr>
          <t xml:space="preserve">
las ventas según PRODUCTO en marzo</t>
        </r>
      </text>
    </comment>
    <comment ref="N10" authorId="1" shapeId="0" xr:uid="{D8D8E68B-FA51-4CB2-B08D-C713145C3B68}">
      <text>
        <r>
          <rPr>
            <b/>
            <sz val="9"/>
            <color indexed="81"/>
            <rFont val="Tahoma"/>
            <charset val="1"/>
          </rPr>
          <t>JAVIER:</t>
        </r>
        <r>
          <rPr>
            <sz val="9"/>
            <color indexed="81"/>
            <rFont val="Tahoma"/>
            <charset val="1"/>
          </rPr>
          <t xml:space="preserve">
las ventas según PRODUCTO en abril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soporte</author>
  </authors>
  <commentList>
    <comment ref="C5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soporte:</t>
        </r>
        <r>
          <rPr>
            <sz val="9"/>
            <color indexed="81"/>
            <rFont val="Tahoma"/>
            <family val="2"/>
          </rPr>
          <t xml:space="preserve">
CREAR UNA LISTA CON LOS EQUIPOS</t>
        </r>
      </text>
    </comment>
    <comment ref="C15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soporte:</t>
        </r>
        <r>
          <rPr>
            <sz val="9"/>
            <color indexed="81"/>
            <rFont val="Tahoma"/>
            <family val="2"/>
          </rPr>
          <t xml:space="preserve">
CREAR UNA LISTA CON LOS TIPOS DE HABITACIÓN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<sst xmlns="http://schemas.openxmlformats.org/spreadsheetml/2006/main" count="74" uniqueCount="62">
  <si>
    <t>PRODUCTOS</t>
  </si>
  <si>
    <t>enero</t>
  </si>
  <si>
    <t>febrero</t>
  </si>
  <si>
    <t>marzo</t>
  </si>
  <si>
    <t>abril</t>
  </si>
  <si>
    <t>PRODUCTO</t>
  </si>
  <si>
    <t>Equipos</t>
  </si>
  <si>
    <t>Puntos</t>
  </si>
  <si>
    <t>Ganados</t>
  </si>
  <si>
    <t>Perdidos</t>
  </si>
  <si>
    <t>Tipo Habitacion</t>
  </si>
  <si>
    <t>Resumen</t>
  </si>
  <si>
    <t>Disponible</t>
  </si>
  <si>
    <t>Precio</t>
  </si>
  <si>
    <t>TABLA DE STOCK</t>
  </si>
  <si>
    <t>ALUMNOS</t>
  </si>
  <si>
    <t>MAT 1</t>
  </si>
  <si>
    <t>MAT 2</t>
  </si>
  <si>
    <t>MAT 3</t>
  </si>
  <si>
    <t>MAT 4</t>
  </si>
  <si>
    <t>MAT 5</t>
  </si>
  <si>
    <t>MAT 6</t>
  </si>
  <si>
    <t>MAT 7</t>
  </si>
  <si>
    <t>MAT 8</t>
  </si>
  <si>
    <t>MAT 9</t>
  </si>
  <si>
    <t>MAT 10</t>
  </si>
  <si>
    <t>MAT 11</t>
  </si>
  <si>
    <t>MAT 12</t>
  </si>
  <si>
    <t>ALUMNO 1</t>
  </si>
  <si>
    <t>ALUMNO 2</t>
  </si>
  <si>
    <t>REPROBADOS</t>
  </si>
  <si>
    <t>&lt;=5</t>
  </si>
  <si>
    <t>ALUMNO 3</t>
  </si>
  <si>
    <t>ALUMNO 4</t>
  </si>
  <si>
    <t xml:space="preserve">APROBADOS </t>
  </si>
  <si>
    <t>6,7,8,9</t>
  </si>
  <si>
    <t>ALUMNO 5</t>
  </si>
  <si>
    <t>ALUMNO 6</t>
  </si>
  <si>
    <t>BECADOS</t>
  </si>
  <si>
    <t>ALUMNO 7</t>
  </si>
  <si>
    <t>ALUMNO 8</t>
  </si>
  <si>
    <t>ALUMNO 9</t>
  </si>
  <si>
    <t>ALUMNO 10</t>
  </si>
  <si>
    <t>ALUMNO 11</t>
  </si>
  <si>
    <t>ALUMNO 12</t>
  </si>
  <si>
    <t>ALUMNO 13</t>
  </si>
  <si>
    <t>ALUMNO 14</t>
  </si>
  <si>
    <t>ALUMNO 15</t>
  </si>
  <si>
    <t>CANTIDAD</t>
  </si>
  <si>
    <t>Y=X^3+2*X^2+X+1</t>
  </si>
  <si>
    <t>Realizar la gráfica de esta función cúbica con 30 datos</t>
  </si>
  <si>
    <t>NOTA</t>
  </si>
  <si>
    <t>[1-4]</t>
  </si>
  <si>
    <t>[5-8]</t>
  </si>
  <si>
    <t>[9-10]</t>
  </si>
  <si>
    <t>mes</t>
  </si>
  <si>
    <t>v1</t>
  </si>
  <si>
    <t>v2</t>
  </si>
  <si>
    <t>v3</t>
  </si>
  <si>
    <t>VENTAS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</si>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</sst>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€&quot;_-;\-* #,##0.00\ &quot;€&quot;_-;_-* &quot;-&quot;??\ &quot;€&quot;_-;_-@_-"/>
    <numFmt numFmtId="165" formatCode="_-[$S/-280A]* #,##0.00_-;\-[$S/-280A]* #,##0.00_-;_-[$S/-280A]* &quot;-&quot;??_-;_-@_-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1"/>
      <color rgb="FFFFFF00"/>
      <name val="Calibri"/>
      <family val="2"/>
      <scheme val="minor"/>
    </font>
    <font>
      <sz val="10"/>
      <name val="Arial"/>
    </font>
    <font>
      <sz val="22"/>
      <color theme="1"/>
      <name val="Arial Narrow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Segoe UI Light"/>
      <family val="2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2" applyNumberFormat="0" applyFill="0" applyAlignment="0" applyProtection="0"/>
    <xf numFmtId="0" fontId="2" fillId="2" borderId="0" applyNumberFormat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0" fontId="9" fillId="0" borderId="0"/>
    <xf numFmtId="9" fontId="3" fillId="0" borderId="0" applyFont="0" applyFill="0" applyBorder="0" applyAlignment="0" applyProtection="0"/>
    <xf numFmtId="0" fontId="14" fillId="0" borderId="0"/>
  </cellStyleXfs>
  <cellXfs count="4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2" xfId="1" applyAlignment="1">
      <alignment horizontal="center" vertical="center"/>
    </xf>
    <xf numFmtId="0" fontId="1" fillId="3" borderId="2" xfId="1" applyFill="1" applyAlignment="1">
      <alignment horizontal="center" vertical="center"/>
    </xf>
    <xf numFmtId="0" fontId="1" fillId="3" borderId="1" xfId="1" applyFill="1" applyBorder="1" applyAlignment="1">
      <alignment horizontal="center" vertical="center"/>
    </xf>
    <xf numFmtId="0" fontId="3" fillId="0" borderId="0" xfId="3"/>
    <xf numFmtId="0" fontId="0" fillId="0" borderId="11" xfId="0" applyBorder="1"/>
    <xf numFmtId="0" fontId="1" fillId="0" borderId="12" xfId="0" applyFont="1" applyBorder="1"/>
    <xf numFmtId="0" fontId="0" fillId="0" borderId="13" xfId="0" applyBorder="1"/>
    <xf numFmtId="0" fontId="0" fillId="0" borderId="1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3" borderId="13" xfId="0" applyFont="1" applyFill="1" applyBorder="1" applyAlignment="1">
      <alignment horizontal="center"/>
    </xf>
    <xf numFmtId="0" fontId="1" fillId="3" borderId="0" xfId="0" applyFont="1" applyFill="1"/>
    <xf numFmtId="0" fontId="0" fillId="0" borderId="11" xfId="0" applyBorder="1" applyAlignment="1">
      <alignment horizontal="center" vertical="center"/>
    </xf>
    <xf numFmtId="0" fontId="2" fillId="2" borderId="14" xfId="2" applyNumberFormat="1" applyBorder="1" applyAlignment="1" applyProtection="1">
      <alignment horizontal="center"/>
      <protection hidden="1"/>
    </xf>
    <xf numFmtId="165" fontId="0" fillId="0" borderId="11" xfId="0" applyNumberFormat="1" applyBorder="1" applyAlignment="1">
      <alignment horizontal="center" vertical="center"/>
    </xf>
    <xf numFmtId="0" fontId="0" fillId="4" borderId="11" xfId="0" applyFill="1" applyBorder="1" applyAlignment="1">
      <alignment horizontal="center"/>
    </xf>
    <xf numFmtId="0" fontId="0" fillId="4" borderId="11" xfId="0" applyFill="1" applyBorder="1"/>
    <xf numFmtId="0" fontId="0" fillId="3" borderId="1" xfId="0" applyFill="1" applyBorder="1" applyAlignment="1">
      <alignment horizontal="center" vertical="center"/>
    </xf>
    <xf numFmtId="0" fontId="0" fillId="5" borderId="0" xfId="0" applyFill="1"/>
    <xf numFmtId="0" fontId="0" fillId="5" borderId="1" xfId="0" applyFill="1" applyBorder="1"/>
    <xf numFmtId="0" fontId="7" fillId="6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right"/>
    </xf>
    <xf numFmtId="0" fontId="0" fillId="8" borderId="1" xfId="0" applyFill="1" applyBorder="1"/>
    <xf numFmtId="0" fontId="11" fillId="0" borderId="0" xfId="0" applyFont="1"/>
    <xf numFmtId="0" fontId="1" fillId="0" borderId="1" xfId="0" applyFont="1" applyBorder="1"/>
    <xf numFmtId="2" fontId="1" fillId="0" borderId="1" xfId="0" applyNumberFormat="1" applyFont="1" applyBorder="1" applyAlignment="1">
      <alignment horizontal="center" vertical="center"/>
    </xf>
    <xf numFmtId="0" fontId="4" fillId="0" borderId="8" xfId="3" applyFont="1" applyBorder="1" applyAlignment="1">
      <alignment horizontal="center"/>
    </xf>
    <xf numFmtId="0" fontId="4" fillId="0" borderId="9" xfId="3" applyFont="1" applyBorder="1" applyAlignment="1">
      <alignment horizontal="center"/>
    </xf>
    <xf numFmtId="0" fontId="4" fillId="0" borderId="10" xfId="3" applyFont="1" applyBorder="1" applyAlignment="1">
      <alignment horizontal="center"/>
    </xf>
    <xf numFmtId="0" fontId="15" fillId="0" borderId="0" xfId="0" applyFont="1"/>
    <xf numFmtId="0" fontId="10" fillId="0" borderId="0" xfId="0" applyFont="1" applyBorder="1" applyAlignment="1">
      <alignment horizontal="center"/>
    </xf>
    <xf numFmtId="0" fontId="16" fillId="0" borderId="0" xfId="0" applyFont="1"/>
    <xf numFmtId="0" fontId="1" fillId="3" borderId="3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8">
    <cellStyle name="20% - Énfasis6" xfId="2" builtinId="50"/>
    <cellStyle name="Moneda 2" xfId="4" xr:uid="{00000000-0005-0000-0000-000001000000}"/>
    <cellStyle name="Normal" xfId="0" builtinId="0"/>
    <cellStyle name="Normal 2" xfId="3" xr:uid="{00000000-0005-0000-0000-000003000000}"/>
    <cellStyle name="Normal 3" xfId="5" xr:uid="{ACE3C297-499E-41C0-9908-91103B355649}"/>
    <cellStyle name="Normal 4" xfId="7" xr:uid="{FEBC81DC-8644-477C-9294-F599B3764B54}"/>
    <cellStyle name="Porcentaje 2" xfId="6" xr:uid="{EB63B2C5-45A9-4D9C-997F-4077677A4440}"/>
    <cellStyle name="Total" xfId="1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'GRAFICA DE FUNCIONES'!$B$8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'GRAFICA DE FUNCIONES'!$C$7:$AF$7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</c:numCache>
            </c:numRef>
          </c:cat>
          <c:val>
            <c:numRef>
              <c:f>'GRAFICA DE FUNCIONES'!$C$8:$AF$8</c:f>
              <c:numCache>
                <c:formatCode>General</c:formatCode>
                <c:ptCount val="30"/>
                <c:pt idx="0">
                  <c:v>1</c:v>
                </c:pt>
                <c:pt idx="1">
                  <c:v>5</c:v>
                </c:pt>
                <c:pt idx="2">
                  <c:v>19</c:v>
                </c:pt>
                <c:pt idx="3">
                  <c:v>49</c:v>
                </c:pt>
                <c:pt idx="4">
                  <c:v>101</c:v>
                </c:pt>
                <c:pt idx="5">
                  <c:v>181</c:v>
                </c:pt>
                <c:pt idx="6">
                  <c:v>295</c:v>
                </c:pt>
                <c:pt idx="7">
                  <c:v>449</c:v>
                </c:pt>
                <c:pt idx="8">
                  <c:v>649</c:v>
                </c:pt>
                <c:pt idx="9">
                  <c:v>901</c:v>
                </c:pt>
                <c:pt idx="10">
                  <c:v>1211</c:v>
                </c:pt>
                <c:pt idx="11">
                  <c:v>1585</c:v>
                </c:pt>
                <c:pt idx="12">
                  <c:v>2029</c:v>
                </c:pt>
                <c:pt idx="13">
                  <c:v>2549</c:v>
                </c:pt>
                <c:pt idx="14">
                  <c:v>3151</c:v>
                </c:pt>
                <c:pt idx="15">
                  <c:v>3841</c:v>
                </c:pt>
                <c:pt idx="16">
                  <c:v>4625</c:v>
                </c:pt>
                <c:pt idx="17">
                  <c:v>5509</c:v>
                </c:pt>
                <c:pt idx="18">
                  <c:v>6499</c:v>
                </c:pt>
                <c:pt idx="19">
                  <c:v>7601</c:v>
                </c:pt>
                <c:pt idx="20">
                  <c:v>8821</c:v>
                </c:pt>
                <c:pt idx="21">
                  <c:v>10165</c:v>
                </c:pt>
                <c:pt idx="22">
                  <c:v>11639</c:v>
                </c:pt>
                <c:pt idx="23">
                  <c:v>13249</c:v>
                </c:pt>
                <c:pt idx="24">
                  <c:v>15001</c:v>
                </c:pt>
                <c:pt idx="25">
                  <c:v>16901</c:v>
                </c:pt>
                <c:pt idx="26">
                  <c:v>18955</c:v>
                </c:pt>
                <c:pt idx="27">
                  <c:v>21169</c:v>
                </c:pt>
                <c:pt idx="28">
                  <c:v>23549</c:v>
                </c:pt>
                <c:pt idx="29">
                  <c:v>26101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0D-4607-83B7-08039C32B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0081807"/>
        <c:axId val="1050081391"/>
      </c:lineChart>
      <c:catAx>
        <c:axId val="1050081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50081391"/>
        <c:crosses val="autoZero"/>
        <c:auto val="1"/>
        <c:lblAlgn val="ctr"/>
        <c:lblOffset val="100"/>
        <c:noMultiLvlLbl val="0"/>
      </c:catAx>
      <c:valAx>
        <c:axId val="105008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50081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748146</xdr:colOff>
      <xdr:row>11</xdr:row>
      <xdr:rowOff>41564</xdr:rowOff>
    </xdr:from>
    <xdr:to>
      <xdr:col>22</xdr:col>
      <xdr:colOff>762000</xdr:colOff>
      <xdr:row>33</xdr:row>
      <xdr:rowOff>69273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29476C6-55DD-4957-857B-36D7527543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95250</xdr:rowOff>
    </xdr:from>
    <xdr:to>
      <xdr:col>5</xdr:col>
      <xdr:colOff>295275</xdr:colOff>
      <xdr:row>3</xdr:row>
      <xdr:rowOff>58512</xdr:rowOff>
    </xdr:to>
    <xdr:sp macro="" textlink="">
      <xdr:nvSpPr>
        <xdr:cNvPr id="4" name="CuadroTexto 10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76200" y="95250"/>
          <a:ext cx="4057650" cy="534762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/>
          <a:r>
            <a:rPr lang="es-PE" sz="1500" b="1">
              <a:latin typeface="Arial" panose="020B0604020202020204" pitchFamily="34" charset="0"/>
              <a:cs typeface="Arial" panose="020B0604020202020204" pitchFamily="34" charset="0"/>
            </a:rPr>
            <a:t>Sintaxis:</a:t>
          </a:r>
        </a:p>
        <a:p>
          <a:pPr algn="just"/>
          <a:r>
            <a:rPr lang="es-PE" sz="1500">
              <a:latin typeface="Arial" panose="020B0604020202020204" pitchFamily="34" charset="0"/>
              <a:cs typeface="Arial" panose="020B0604020202020204" pitchFamily="34" charset="0"/>
            </a:rPr>
            <a:t>=SUMAR.SI(rango, condición,rango_suma)</a:t>
          </a:r>
        </a:p>
      </xdr:txBody>
    </xdr:sp>
    <xdr:clientData/>
  </xdr:twoCellAnchor>
  <xdr:twoCellAnchor>
    <xdr:from>
      <xdr:col>5</xdr:col>
      <xdr:colOff>552449</xdr:colOff>
      <xdr:row>0</xdr:row>
      <xdr:rowOff>85725</xdr:rowOff>
    </xdr:from>
    <xdr:to>
      <xdr:col>15</xdr:col>
      <xdr:colOff>152400</xdr:colOff>
      <xdr:row>3</xdr:row>
      <xdr:rowOff>48987</xdr:rowOff>
    </xdr:to>
    <xdr:sp macro="" textlink="">
      <xdr:nvSpPr>
        <xdr:cNvPr id="3" name="CuadroTexto 10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4391024" y="85725"/>
          <a:ext cx="7572376" cy="534762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/>
          <a:r>
            <a:rPr lang="es-PE" sz="1500" b="1">
              <a:latin typeface="Arial" panose="020B0604020202020204" pitchFamily="34" charset="0"/>
              <a:cs typeface="Arial" panose="020B0604020202020204" pitchFamily="34" charset="0"/>
            </a:rPr>
            <a:t>Sintaxis:</a:t>
          </a:r>
        </a:p>
        <a:p>
          <a:pPr algn="just"/>
          <a:r>
            <a:rPr lang="es-PE" sz="1500">
              <a:latin typeface="Arial" panose="020B0604020202020204" pitchFamily="34" charset="0"/>
              <a:cs typeface="Arial" panose="020B0604020202020204" pitchFamily="34" charset="0"/>
            </a:rPr>
            <a:t>=SUMAR.SI.CONJUNTO(rango_suma,rango1, condición1, rango2,</a:t>
          </a:r>
          <a:r>
            <a:rPr lang="es-PE" sz="1500" baseline="0">
              <a:latin typeface="Arial" panose="020B0604020202020204" pitchFamily="34" charset="0"/>
              <a:cs typeface="Arial" panose="020B0604020202020204" pitchFamily="34" charset="0"/>
            </a:rPr>
            <a:t> condicion2...</a:t>
          </a:r>
          <a:r>
            <a:rPr lang="es-PE" sz="1500">
              <a:latin typeface="Arial" panose="020B0604020202020204" pitchFamily="34" charset="0"/>
              <a:cs typeface="Arial" panose="020B0604020202020204" pitchFamily="34" charset="0"/>
            </a:rPr>
            <a:t>)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avier/Downloads/curso%20excel/laura/7.Familia%20BUSCA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ciones"/>
      <sheetName val="Función BUSCAR"/>
      <sheetName val="Hoja1"/>
      <sheetName val="Funciones BUSCARH ó V"/>
      <sheetName val="Práctica BUSCAR"/>
      <sheetName val="Práctica2.BUSCAR"/>
      <sheetName val="Práctica2.BUSCAR SOLUCIÓN"/>
      <sheetName val="Hoja2"/>
    </sheetNames>
    <sheetDataSet>
      <sheetData sheetId="0"/>
      <sheetData sheetId="1"/>
      <sheetData sheetId="2">
        <row r="7">
          <cell r="A7" t="str">
            <v>DOBLES</v>
          </cell>
        </row>
        <row r="8">
          <cell r="A8" t="str">
            <v>SUITE</v>
          </cell>
        </row>
        <row r="9">
          <cell r="A9" t="str">
            <v>TRIPLES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2CC2F-FC98-41B3-AB98-403359D73D4A}">
  <dimension ref="B2:AF30"/>
  <sheetViews>
    <sheetView zoomScale="55" zoomScaleNormal="55" workbookViewId="0">
      <selection activeCell="B30" sqref="B30"/>
    </sheetView>
  </sheetViews>
  <sheetFormatPr baseColWidth="10" defaultRowHeight="14.4" x14ac:dyDescent="0.3"/>
  <sheetData>
    <row r="2" spans="2:32" x14ac:dyDescent="0.3">
      <c r="C2" s="29" t="s">
        <v>50</v>
      </c>
      <c r="D2" s="29"/>
      <c r="E2" s="29"/>
      <c r="F2" s="29"/>
      <c r="G2" s="29"/>
    </row>
    <row r="5" spans="2:32" ht="28.2" x14ac:dyDescent="0.5">
      <c r="B5" s="36" t="s">
        <v>49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</row>
    <row r="7" spans="2:32" x14ac:dyDescent="0.3">
      <c r="B7" s="2" t="s">
        <v>60</v>
      </c>
      <c r="C7" s="2">
        <v>0</v>
      </c>
      <c r="D7" s="2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</row>
    <row r="8" spans="2:32" x14ac:dyDescent="0.3">
      <c r="B8" s="2" t="s">
        <v>61</v>
      </c>
      <c r="C8" s="2">
        <f>C7^3+2*C7^2+C7+1</f>
        <v>1</v>
      </c>
      <c r="D8" s="2">
        <f t="shared" ref="D8:AF8" si="0">D7^3+2*D7^2+D7+1</f>
        <v>5</v>
      </c>
      <c r="E8" s="2">
        <f t="shared" si="0"/>
        <v>19</v>
      </c>
      <c r="F8" s="2">
        <f t="shared" si="0"/>
        <v>49</v>
      </c>
      <c r="G8" s="2">
        <f t="shared" si="0"/>
        <v>101</v>
      </c>
      <c r="H8" s="2">
        <f t="shared" si="0"/>
        <v>181</v>
      </c>
      <c r="I8" s="2">
        <f t="shared" si="0"/>
        <v>295</v>
      </c>
      <c r="J8" s="2">
        <f t="shared" si="0"/>
        <v>449</v>
      </c>
      <c r="K8" s="2">
        <f t="shared" si="0"/>
        <v>649</v>
      </c>
      <c r="L8" s="2">
        <f t="shared" si="0"/>
        <v>901</v>
      </c>
      <c r="M8" s="2">
        <f t="shared" si="0"/>
        <v>1211</v>
      </c>
      <c r="N8" s="2">
        <f t="shared" si="0"/>
        <v>1585</v>
      </c>
      <c r="O8" s="2">
        <f t="shared" si="0"/>
        <v>2029</v>
      </c>
      <c r="P8" s="2">
        <f t="shared" si="0"/>
        <v>2549</v>
      </c>
      <c r="Q8" s="2">
        <f t="shared" si="0"/>
        <v>3151</v>
      </c>
      <c r="R8" s="2">
        <f t="shared" si="0"/>
        <v>3841</v>
      </c>
      <c r="S8" s="2">
        <f t="shared" si="0"/>
        <v>4625</v>
      </c>
      <c r="T8" s="2">
        <f t="shared" si="0"/>
        <v>5509</v>
      </c>
      <c r="U8" s="2">
        <f t="shared" si="0"/>
        <v>6499</v>
      </c>
      <c r="V8" s="2">
        <f t="shared" si="0"/>
        <v>7601</v>
      </c>
      <c r="W8" s="2">
        <f t="shared" si="0"/>
        <v>8821</v>
      </c>
      <c r="X8" s="2">
        <f t="shared" si="0"/>
        <v>10165</v>
      </c>
      <c r="Y8" s="2">
        <f t="shared" si="0"/>
        <v>11639</v>
      </c>
      <c r="Z8" s="2">
        <f t="shared" si="0"/>
        <v>13249</v>
      </c>
      <c r="AA8" s="2">
        <f t="shared" si="0"/>
        <v>15001</v>
      </c>
      <c r="AB8" s="2">
        <f t="shared" si="0"/>
        <v>16901</v>
      </c>
      <c r="AC8" s="2">
        <f t="shared" si="0"/>
        <v>18955</v>
      </c>
      <c r="AD8" s="2">
        <f t="shared" si="0"/>
        <v>21169</v>
      </c>
      <c r="AE8" s="2">
        <f t="shared" si="0"/>
        <v>23549</v>
      </c>
      <c r="AF8" s="2">
        <f>AF7^3+2*AF7^2+AF7+1</f>
        <v>26101</v>
      </c>
    </row>
    <row r="9" spans="2:32" x14ac:dyDescent="0.3">
      <c r="C9" s="35">
        <v>1</v>
      </c>
      <c r="D9" s="35">
        <v>2</v>
      </c>
      <c r="E9" s="35">
        <v>3</v>
      </c>
      <c r="F9" s="35">
        <v>4</v>
      </c>
      <c r="G9" s="35">
        <v>5</v>
      </c>
      <c r="H9" s="35">
        <v>6</v>
      </c>
      <c r="I9" s="35">
        <v>7</v>
      </c>
      <c r="J9" s="35">
        <v>8</v>
      </c>
      <c r="K9" s="35">
        <v>9</v>
      </c>
      <c r="L9" s="35">
        <v>10</v>
      </c>
      <c r="M9" s="35">
        <v>11</v>
      </c>
      <c r="N9" s="35">
        <v>12</v>
      </c>
      <c r="O9" s="35">
        <v>13</v>
      </c>
      <c r="P9" s="35">
        <v>14</v>
      </c>
      <c r="Q9" s="35">
        <v>15</v>
      </c>
      <c r="R9" s="35">
        <v>16</v>
      </c>
      <c r="S9" s="35">
        <v>17</v>
      </c>
      <c r="T9" s="35">
        <v>18</v>
      </c>
      <c r="U9" s="35">
        <v>19</v>
      </c>
      <c r="V9" s="35">
        <v>20</v>
      </c>
      <c r="W9" s="35">
        <v>21</v>
      </c>
      <c r="X9" s="35">
        <v>22</v>
      </c>
      <c r="Y9" s="35">
        <v>23</v>
      </c>
      <c r="Z9" s="35">
        <v>24</v>
      </c>
      <c r="AA9" s="35">
        <v>25</v>
      </c>
      <c r="AB9" s="35">
        <v>26</v>
      </c>
      <c r="AC9" s="35">
        <v>27</v>
      </c>
      <c r="AD9" s="35">
        <v>28</v>
      </c>
      <c r="AE9" s="35">
        <v>29</v>
      </c>
      <c r="AF9" s="35">
        <v>30</v>
      </c>
    </row>
    <row r="30" spans="2:2" x14ac:dyDescent="0.3">
      <c r="B30" s="37"/>
    </row>
  </sheetData>
  <mergeCells count="1">
    <mergeCell ref="B5:AF5"/>
  </mergeCell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6"/>
  <sheetViews>
    <sheetView workbookViewId="0">
      <selection activeCell="Q10" sqref="Q10"/>
    </sheetView>
  </sheetViews>
  <sheetFormatPr baseColWidth="10" defaultRowHeight="14.4" x14ac:dyDescent="0.3"/>
  <cols>
    <col min="2" max="10" width="6.44140625" bestFit="1" customWidth="1"/>
    <col min="11" max="13" width="7.44140625" bestFit="1" customWidth="1"/>
    <col min="15" max="15" width="28" customWidth="1"/>
    <col min="16" max="16" width="15.6640625" customWidth="1"/>
  </cols>
  <sheetData>
    <row r="1" spans="1:16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</row>
    <row r="2" spans="1:16" x14ac:dyDescent="0.3">
      <c r="A2" t="s">
        <v>28</v>
      </c>
      <c r="B2" s="24">
        <v>8</v>
      </c>
      <c r="C2" s="24">
        <v>5</v>
      </c>
      <c r="D2" s="24">
        <v>7</v>
      </c>
      <c r="E2" s="24">
        <v>5</v>
      </c>
      <c r="F2" s="24">
        <v>10</v>
      </c>
      <c r="G2" s="24">
        <v>9</v>
      </c>
      <c r="H2" s="24">
        <v>10</v>
      </c>
      <c r="I2" s="24">
        <v>7</v>
      </c>
      <c r="J2" s="24">
        <v>6</v>
      </c>
      <c r="K2" s="24">
        <v>5</v>
      </c>
      <c r="L2" s="24">
        <v>7</v>
      </c>
      <c r="M2" s="24">
        <v>8</v>
      </c>
    </row>
    <row r="3" spans="1:16" x14ac:dyDescent="0.3">
      <c r="A3" t="s">
        <v>29</v>
      </c>
      <c r="B3" s="24">
        <v>9</v>
      </c>
      <c r="C3" s="24">
        <v>8</v>
      </c>
      <c r="D3" s="24">
        <v>5</v>
      </c>
      <c r="E3" s="24">
        <v>8</v>
      </c>
      <c r="F3" s="24">
        <v>9</v>
      </c>
      <c r="G3" s="24">
        <v>9</v>
      </c>
      <c r="H3" s="24">
        <v>8</v>
      </c>
      <c r="I3" s="24">
        <v>5</v>
      </c>
      <c r="J3" s="24">
        <v>8</v>
      </c>
      <c r="K3" s="24">
        <v>6</v>
      </c>
      <c r="L3" s="24">
        <v>8</v>
      </c>
      <c r="M3" s="24">
        <v>8</v>
      </c>
      <c r="O3" s="25" t="s">
        <v>30</v>
      </c>
      <c r="P3" s="26" t="s">
        <v>31</v>
      </c>
    </row>
    <row r="4" spans="1:16" x14ac:dyDescent="0.3">
      <c r="A4" t="s">
        <v>32</v>
      </c>
      <c r="B4" s="24">
        <v>10</v>
      </c>
      <c r="C4" s="24">
        <v>5</v>
      </c>
      <c r="D4" s="24">
        <v>7</v>
      </c>
      <c r="E4" s="24">
        <v>6</v>
      </c>
      <c r="F4" s="24">
        <v>5</v>
      </c>
      <c r="G4" s="24">
        <v>10</v>
      </c>
      <c r="H4" s="24">
        <v>7</v>
      </c>
      <c r="I4" s="24">
        <v>3</v>
      </c>
      <c r="J4" s="24">
        <v>7</v>
      </c>
      <c r="K4" s="24">
        <v>7</v>
      </c>
      <c r="L4" s="24">
        <v>9</v>
      </c>
      <c r="M4" s="24">
        <v>7</v>
      </c>
      <c r="O4" s="24"/>
    </row>
    <row r="5" spans="1:16" x14ac:dyDescent="0.3">
      <c r="A5" t="s">
        <v>33</v>
      </c>
      <c r="B5" s="24">
        <v>7</v>
      </c>
      <c r="C5" s="24">
        <v>6</v>
      </c>
      <c r="D5" s="24">
        <v>8</v>
      </c>
      <c r="E5" s="24">
        <v>7</v>
      </c>
      <c r="F5" s="24">
        <v>7</v>
      </c>
      <c r="G5" s="24">
        <v>10</v>
      </c>
      <c r="H5" s="24">
        <v>6</v>
      </c>
      <c r="I5" s="24">
        <v>7</v>
      </c>
      <c r="J5" s="24">
        <v>6</v>
      </c>
      <c r="K5" s="24">
        <v>8</v>
      </c>
      <c r="L5" s="24">
        <v>8</v>
      </c>
      <c r="M5" s="24">
        <v>6</v>
      </c>
      <c r="O5" s="25" t="s">
        <v>34</v>
      </c>
      <c r="P5" s="27" t="s">
        <v>35</v>
      </c>
    </row>
    <row r="6" spans="1:16" x14ac:dyDescent="0.3">
      <c r="A6" t="s">
        <v>36</v>
      </c>
      <c r="B6" s="24">
        <v>5</v>
      </c>
      <c r="C6" s="24">
        <v>7</v>
      </c>
      <c r="D6" s="24">
        <v>5</v>
      </c>
      <c r="E6" s="24">
        <v>8</v>
      </c>
      <c r="F6" s="24">
        <v>2</v>
      </c>
      <c r="G6" s="24">
        <v>10</v>
      </c>
      <c r="H6" s="24">
        <v>9</v>
      </c>
      <c r="I6" s="24">
        <v>8</v>
      </c>
      <c r="J6" s="24">
        <v>2</v>
      </c>
      <c r="K6" s="24">
        <v>9</v>
      </c>
      <c r="L6" s="24">
        <v>9</v>
      </c>
      <c r="M6" s="24">
        <v>5</v>
      </c>
      <c r="O6" s="24"/>
    </row>
    <row r="7" spans="1:16" x14ac:dyDescent="0.3">
      <c r="A7" t="s">
        <v>37</v>
      </c>
      <c r="B7" s="24">
        <v>4</v>
      </c>
      <c r="C7" s="24">
        <v>8</v>
      </c>
      <c r="D7" s="24">
        <v>6</v>
      </c>
      <c r="E7" s="24">
        <v>3</v>
      </c>
      <c r="F7" s="24">
        <v>9</v>
      </c>
      <c r="G7" s="24">
        <v>9</v>
      </c>
      <c r="H7" s="24">
        <v>8</v>
      </c>
      <c r="I7" s="24">
        <v>9</v>
      </c>
      <c r="J7" s="24">
        <v>9</v>
      </c>
      <c r="K7" s="24">
        <v>8</v>
      </c>
      <c r="L7" s="24">
        <v>7</v>
      </c>
      <c r="M7" s="24">
        <v>9</v>
      </c>
      <c r="O7" s="25" t="s">
        <v>38</v>
      </c>
      <c r="P7" s="28">
        <f>10</f>
        <v>10</v>
      </c>
    </row>
    <row r="8" spans="1:16" x14ac:dyDescent="0.3">
      <c r="A8" t="s">
        <v>39</v>
      </c>
      <c r="B8" s="24">
        <v>7</v>
      </c>
      <c r="C8" s="24">
        <v>9</v>
      </c>
      <c r="D8" s="24">
        <v>9</v>
      </c>
      <c r="E8" s="24">
        <v>5</v>
      </c>
      <c r="F8" s="24">
        <v>5</v>
      </c>
      <c r="G8" s="24">
        <v>5</v>
      </c>
      <c r="H8" s="24">
        <v>9</v>
      </c>
      <c r="I8" s="24">
        <v>8</v>
      </c>
      <c r="J8" s="24">
        <v>8</v>
      </c>
      <c r="K8" s="24">
        <v>9</v>
      </c>
      <c r="L8" s="24">
        <v>1</v>
      </c>
      <c r="M8" s="24">
        <v>8</v>
      </c>
    </row>
    <row r="9" spans="1:16" x14ac:dyDescent="0.3">
      <c r="A9" t="s">
        <v>40</v>
      </c>
      <c r="B9" s="24">
        <v>6</v>
      </c>
      <c r="C9" s="24">
        <v>10</v>
      </c>
      <c r="D9" s="24">
        <v>7</v>
      </c>
      <c r="E9" s="24">
        <v>6</v>
      </c>
      <c r="F9" s="24">
        <v>10</v>
      </c>
      <c r="G9" s="24">
        <v>6</v>
      </c>
      <c r="H9" s="24">
        <v>8</v>
      </c>
      <c r="I9" s="24">
        <v>7</v>
      </c>
      <c r="J9" s="24">
        <v>7</v>
      </c>
      <c r="K9" s="24">
        <v>8</v>
      </c>
      <c r="L9" s="24">
        <v>7</v>
      </c>
      <c r="M9" s="24">
        <v>7</v>
      </c>
    </row>
    <row r="10" spans="1:16" x14ac:dyDescent="0.3">
      <c r="A10" t="s">
        <v>41</v>
      </c>
      <c r="B10" s="24">
        <v>5</v>
      </c>
      <c r="C10" s="24">
        <v>7</v>
      </c>
      <c r="D10" s="24">
        <v>9</v>
      </c>
      <c r="E10" s="24">
        <v>5</v>
      </c>
      <c r="F10" s="24">
        <v>6</v>
      </c>
      <c r="G10" s="24">
        <v>9</v>
      </c>
      <c r="H10" s="24">
        <v>7</v>
      </c>
      <c r="I10" s="24">
        <v>7</v>
      </c>
      <c r="J10" s="24">
        <v>6</v>
      </c>
      <c r="K10" s="24">
        <v>7</v>
      </c>
      <c r="L10" s="24">
        <v>8</v>
      </c>
      <c r="M10" s="24">
        <v>6</v>
      </c>
      <c r="O10" s="3" t="s">
        <v>51</v>
      </c>
      <c r="P10" s="30" t="s">
        <v>48</v>
      </c>
    </row>
    <row r="11" spans="1:16" x14ac:dyDescent="0.3">
      <c r="A11" t="s">
        <v>42</v>
      </c>
      <c r="B11" s="24">
        <v>9</v>
      </c>
      <c r="C11" s="24">
        <v>6</v>
      </c>
      <c r="D11" s="24">
        <v>8</v>
      </c>
      <c r="E11" s="24">
        <v>6</v>
      </c>
      <c r="F11" s="24">
        <v>10</v>
      </c>
      <c r="G11" s="24">
        <v>5</v>
      </c>
      <c r="H11" s="24">
        <v>8</v>
      </c>
      <c r="I11" s="24">
        <v>5</v>
      </c>
      <c r="J11" s="24">
        <v>2</v>
      </c>
      <c r="K11" s="24">
        <v>9</v>
      </c>
      <c r="L11" s="24">
        <v>6</v>
      </c>
      <c r="M11" s="24">
        <v>10</v>
      </c>
      <c r="O11" s="31" t="s">
        <v>52</v>
      </c>
      <c r="P11" s="2">
        <f>COUNTIF(B2:M16,"&lt;=5")</f>
        <v>30</v>
      </c>
    </row>
    <row r="12" spans="1:16" x14ac:dyDescent="0.3">
      <c r="A12" t="s">
        <v>43</v>
      </c>
      <c r="B12" s="24">
        <v>10</v>
      </c>
      <c r="C12" s="24">
        <v>8</v>
      </c>
      <c r="D12" s="24">
        <v>7</v>
      </c>
      <c r="E12" s="24">
        <v>6</v>
      </c>
      <c r="F12" s="24">
        <v>7</v>
      </c>
      <c r="G12" s="24">
        <v>7</v>
      </c>
      <c r="H12" s="24">
        <v>8</v>
      </c>
      <c r="I12" s="24">
        <v>6</v>
      </c>
      <c r="J12" s="24">
        <v>8</v>
      </c>
      <c r="K12" s="24">
        <v>8</v>
      </c>
      <c r="L12" s="24">
        <v>7</v>
      </c>
      <c r="M12" s="24">
        <v>9</v>
      </c>
      <c r="O12" s="31" t="s">
        <v>53</v>
      </c>
      <c r="P12" s="2">
        <f>COUNTIFS(B2:M16,"&gt;=6",B2:M16,"&lt;=9")</f>
        <v>132</v>
      </c>
    </row>
    <row r="13" spans="1:16" x14ac:dyDescent="0.3">
      <c r="A13" t="s">
        <v>44</v>
      </c>
      <c r="B13" s="24">
        <v>5</v>
      </c>
      <c r="C13" s="24">
        <v>9</v>
      </c>
      <c r="D13" s="24">
        <v>9</v>
      </c>
      <c r="E13" s="24">
        <v>7</v>
      </c>
      <c r="F13" s="24">
        <v>8</v>
      </c>
      <c r="G13" s="24">
        <v>10</v>
      </c>
      <c r="H13" s="24">
        <v>10</v>
      </c>
      <c r="I13" s="24">
        <v>7</v>
      </c>
      <c r="J13" s="24">
        <v>7</v>
      </c>
      <c r="K13" s="24">
        <v>7</v>
      </c>
      <c r="L13" s="24">
        <v>6</v>
      </c>
      <c r="M13" s="24">
        <v>8</v>
      </c>
      <c r="O13" s="31" t="s">
        <v>54</v>
      </c>
      <c r="P13" s="2">
        <f>COUNTIF(B2:M16,10)</f>
        <v>18</v>
      </c>
    </row>
    <row r="14" spans="1:16" x14ac:dyDescent="0.3">
      <c r="A14" t="s">
        <v>45</v>
      </c>
      <c r="B14" s="24">
        <v>7</v>
      </c>
      <c r="C14" s="24">
        <v>6</v>
      </c>
      <c r="D14" s="24">
        <v>7</v>
      </c>
      <c r="E14" s="24">
        <v>0</v>
      </c>
      <c r="F14" s="24">
        <v>10</v>
      </c>
      <c r="G14" s="24">
        <v>8</v>
      </c>
      <c r="H14" s="24">
        <v>0</v>
      </c>
      <c r="I14" s="24">
        <v>8</v>
      </c>
      <c r="J14" s="24">
        <v>9</v>
      </c>
      <c r="K14" s="24">
        <v>1</v>
      </c>
      <c r="L14" s="24">
        <v>0</v>
      </c>
      <c r="M14" s="24">
        <v>7</v>
      </c>
    </row>
    <row r="15" spans="1:16" x14ac:dyDescent="0.3">
      <c r="A15" t="s">
        <v>46</v>
      </c>
      <c r="B15" s="24">
        <v>7</v>
      </c>
      <c r="C15" s="24">
        <v>8</v>
      </c>
      <c r="D15" s="24">
        <v>8</v>
      </c>
      <c r="E15" s="24">
        <v>10</v>
      </c>
      <c r="F15" s="24">
        <v>8</v>
      </c>
      <c r="G15" s="24">
        <v>9</v>
      </c>
      <c r="H15" s="24">
        <v>9</v>
      </c>
      <c r="I15" s="24">
        <v>9</v>
      </c>
      <c r="J15" s="24">
        <v>8</v>
      </c>
      <c r="K15" s="24">
        <v>8</v>
      </c>
      <c r="L15" s="24">
        <v>7</v>
      </c>
      <c r="M15" s="24">
        <v>6</v>
      </c>
    </row>
    <row r="16" spans="1:16" x14ac:dyDescent="0.3">
      <c r="A16" t="s">
        <v>47</v>
      </c>
      <c r="B16" s="24">
        <v>10</v>
      </c>
      <c r="C16" s="24">
        <v>7</v>
      </c>
      <c r="D16" s="24">
        <v>9</v>
      </c>
      <c r="E16" s="24">
        <v>9</v>
      </c>
      <c r="F16" s="24">
        <v>10</v>
      </c>
      <c r="G16" s="24">
        <v>9</v>
      </c>
      <c r="H16" s="24">
        <v>9</v>
      </c>
      <c r="I16" s="24">
        <v>8</v>
      </c>
      <c r="J16" s="24">
        <v>10</v>
      </c>
      <c r="K16" s="24">
        <v>9</v>
      </c>
      <c r="L16" s="24">
        <v>6</v>
      </c>
      <c r="M16" s="24">
        <v>5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9:N24"/>
  <sheetViews>
    <sheetView zoomScale="85" zoomScaleNormal="85" workbookViewId="0">
      <selection activeCell="P13" sqref="P13"/>
    </sheetView>
  </sheetViews>
  <sheetFormatPr baseColWidth="10" defaultRowHeight="14.4" x14ac:dyDescent="0.3"/>
  <cols>
    <col min="3" max="3" width="11.88671875" customWidth="1"/>
    <col min="8" max="8" width="13.109375" customWidth="1"/>
    <col min="10" max="10" width="15" customWidth="1"/>
  </cols>
  <sheetData>
    <row r="9" spans="3:14" x14ac:dyDescent="0.3">
      <c r="J9" s="38" t="s">
        <v>14</v>
      </c>
      <c r="K9" s="39"/>
      <c r="L9" s="39"/>
      <c r="M9" s="39"/>
      <c r="N9" s="40"/>
    </row>
    <row r="10" spans="3:14" x14ac:dyDescent="0.3">
      <c r="J10" s="3" t="s">
        <v>5</v>
      </c>
      <c r="K10" s="23" t="s">
        <v>1</v>
      </c>
      <c r="L10" s="23" t="s">
        <v>2</v>
      </c>
      <c r="M10" s="23" t="s">
        <v>3</v>
      </c>
      <c r="N10" s="23" t="s">
        <v>4</v>
      </c>
    </row>
    <row r="11" spans="3:14" ht="15" thickBot="1" x14ac:dyDescent="0.35">
      <c r="C11" s="6" t="s">
        <v>0</v>
      </c>
      <c r="D11" s="6" t="s">
        <v>55</v>
      </c>
      <c r="E11" s="6" t="s">
        <v>56</v>
      </c>
      <c r="F11" s="6" t="s">
        <v>57</v>
      </c>
      <c r="G11" s="6" t="s">
        <v>58</v>
      </c>
      <c r="H11" s="7" t="s">
        <v>59</v>
      </c>
      <c r="J11" s="2" cm="1">
        <f t="array" ref="J11:J22">C12:C23</f>
        <v>10005</v>
      </c>
      <c r="K11" s="2" cm="1">
        <f t="array" ref="K11:K22">SUMIFS($H$12:$H$23,$C$12:$C$23,_xlfn.ANCHORARRAY(J11),$D$12:$D$23,"enero")</f>
        <v>100</v>
      </c>
      <c r="L11" s="4" cm="1">
        <f t="array" ref="L11:L22">SUMIFS($H$12:$H$23,$C$12:$C$23,_xlfn.ANCHORARRAY(J11),$D$12:$D$23,"febrero")</f>
        <v>0</v>
      </c>
      <c r="M11" s="4" cm="1">
        <f t="array" ref="M11:M22">SUMIFS($H$12:$H$23,$C$12:$C$23,_xlfn.ANCHORARRAY(J11),$D$12:$D$23,"marzo")</f>
        <v>125</v>
      </c>
      <c r="N11" s="4" cm="1">
        <f t="array" ref="N11:N22">SUMIFS($H$12:$H$23,$C$12:$C$23,_xlfn.ANCHORARRAY(J11),$D$12:$D$23,"abril")</f>
        <v>245</v>
      </c>
    </row>
    <row r="12" spans="3:14" ht="15.6" thickTop="1" thickBot="1" x14ac:dyDescent="0.35">
      <c r="C12" s="5">
        <v>10005</v>
      </c>
      <c r="D12" s="5" t="s">
        <v>1</v>
      </c>
      <c r="E12" s="5">
        <v>50</v>
      </c>
      <c r="F12" s="5">
        <v>35</v>
      </c>
      <c r="G12" s="5">
        <v>15</v>
      </c>
      <c r="H12" s="1">
        <f>E12+F12+G12</f>
        <v>100</v>
      </c>
      <c r="J12">
        <v>10004</v>
      </c>
      <c r="K12">
        <v>105</v>
      </c>
      <c r="L12">
        <v>260</v>
      </c>
      <c r="M12">
        <v>0</v>
      </c>
      <c r="N12">
        <v>135</v>
      </c>
    </row>
    <row r="13" spans="3:14" ht="15.6" thickTop="1" thickBot="1" x14ac:dyDescent="0.35">
      <c r="C13" s="5">
        <v>10004</v>
      </c>
      <c r="D13" s="5" t="s">
        <v>1</v>
      </c>
      <c r="E13" s="5">
        <v>45</v>
      </c>
      <c r="F13" s="5">
        <v>40</v>
      </c>
      <c r="G13" s="5">
        <v>20</v>
      </c>
      <c r="H13" s="1">
        <f t="shared" ref="H13:H23" si="0">E13+F13+G13</f>
        <v>105</v>
      </c>
      <c r="J13">
        <v>10003</v>
      </c>
      <c r="K13">
        <v>140</v>
      </c>
      <c r="L13">
        <v>110</v>
      </c>
      <c r="M13">
        <v>270</v>
      </c>
      <c r="N13">
        <v>0</v>
      </c>
    </row>
    <row r="14" spans="3:14" ht="15.6" thickTop="1" thickBot="1" x14ac:dyDescent="0.35">
      <c r="C14" s="5">
        <v>10003</v>
      </c>
      <c r="D14" s="5" t="s">
        <v>2</v>
      </c>
      <c r="E14" s="5">
        <v>40</v>
      </c>
      <c r="F14" s="5">
        <v>45</v>
      </c>
      <c r="G14" s="5">
        <v>25</v>
      </c>
      <c r="H14" s="1">
        <f t="shared" si="0"/>
        <v>110</v>
      </c>
      <c r="J14">
        <v>10004</v>
      </c>
      <c r="K14">
        <v>105</v>
      </c>
      <c r="L14">
        <v>260</v>
      </c>
      <c r="M14">
        <v>0</v>
      </c>
      <c r="N14">
        <v>135</v>
      </c>
    </row>
    <row r="15" spans="3:14" ht="15.6" thickTop="1" thickBot="1" x14ac:dyDescent="0.35">
      <c r="C15" s="5">
        <v>10004</v>
      </c>
      <c r="D15" s="5" t="s">
        <v>2</v>
      </c>
      <c r="E15" s="5">
        <v>35</v>
      </c>
      <c r="F15" s="5">
        <v>50</v>
      </c>
      <c r="G15" s="5">
        <v>30</v>
      </c>
      <c r="H15" s="1">
        <f t="shared" si="0"/>
        <v>115</v>
      </c>
      <c r="J15">
        <v>10003</v>
      </c>
      <c r="K15">
        <v>140</v>
      </c>
      <c r="L15">
        <v>110</v>
      </c>
      <c r="M15">
        <v>270</v>
      </c>
      <c r="N15">
        <v>0</v>
      </c>
    </row>
    <row r="16" spans="3:14" ht="15.6" thickTop="1" thickBot="1" x14ac:dyDescent="0.35">
      <c r="C16" s="5">
        <v>10003</v>
      </c>
      <c r="D16" s="5" t="s">
        <v>3</v>
      </c>
      <c r="E16" s="5">
        <v>30</v>
      </c>
      <c r="F16" s="5">
        <v>55</v>
      </c>
      <c r="G16" s="5">
        <v>35</v>
      </c>
      <c r="H16" s="1">
        <f t="shared" si="0"/>
        <v>120</v>
      </c>
      <c r="J16">
        <v>10005</v>
      </c>
      <c r="K16">
        <v>100</v>
      </c>
      <c r="L16">
        <v>0</v>
      </c>
      <c r="M16">
        <v>125</v>
      </c>
      <c r="N16">
        <v>245</v>
      </c>
    </row>
    <row r="17" spans="3:14" ht="15.6" thickTop="1" thickBot="1" x14ac:dyDescent="0.35">
      <c r="C17" s="5">
        <v>10005</v>
      </c>
      <c r="D17" s="5" t="s">
        <v>3</v>
      </c>
      <c r="E17" s="5">
        <v>25</v>
      </c>
      <c r="F17" s="5">
        <v>60</v>
      </c>
      <c r="G17" s="5">
        <v>40</v>
      </c>
      <c r="H17" s="1">
        <f t="shared" si="0"/>
        <v>125</v>
      </c>
      <c r="J17">
        <v>10005</v>
      </c>
      <c r="K17">
        <v>100</v>
      </c>
      <c r="L17">
        <v>0</v>
      </c>
      <c r="M17">
        <v>125</v>
      </c>
      <c r="N17">
        <v>245</v>
      </c>
    </row>
    <row r="18" spans="3:14" ht="15.6" thickTop="1" thickBot="1" x14ac:dyDescent="0.35">
      <c r="C18" s="5">
        <v>10005</v>
      </c>
      <c r="D18" s="5" t="s">
        <v>4</v>
      </c>
      <c r="E18" s="5">
        <v>20</v>
      </c>
      <c r="F18" s="5">
        <v>65</v>
      </c>
      <c r="G18" s="5">
        <v>45</v>
      </c>
      <c r="H18" s="1">
        <f t="shared" si="0"/>
        <v>130</v>
      </c>
      <c r="J18">
        <v>10004</v>
      </c>
      <c r="K18">
        <v>105</v>
      </c>
      <c r="L18">
        <v>260</v>
      </c>
      <c r="M18">
        <v>0</v>
      </c>
      <c r="N18">
        <v>135</v>
      </c>
    </row>
    <row r="19" spans="3:14" ht="15.6" thickTop="1" thickBot="1" x14ac:dyDescent="0.35">
      <c r="C19" s="5">
        <v>10004</v>
      </c>
      <c r="D19" s="5" t="s">
        <v>4</v>
      </c>
      <c r="E19" s="5">
        <v>15</v>
      </c>
      <c r="F19" s="5">
        <v>70</v>
      </c>
      <c r="G19" s="5">
        <v>50</v>
      </c>
      <c r="H19" s="1">
        <f t="shared" si="0"/>
        <v>135</v>
      </c>
      <c r="J19">
        <v>10003</v>
      </c>
      <c r="K19">
        <v>140</v>
      </c>
      <c r="L19">
        <v>110</v>
      </c>
      <c r="M19">
        <v>270</v>
      </c>
      <c r="N19">
        <v>0</v>
      </c>
    </row>
    <row r="20" spans="3:14" ht="15.6" thickTop="1" thickBot="1" x14ac:dyDescent="0.35">
      <c r="C20" s="5">
        <v>10003</v>
      </c>
      <c r="D20" s="5" t="s">
        <v>1</v>
      </c>
      <c r="E20" s="5">
        <v>10</v>
      </c>
      <c r="F20" s="5">
        <v>75</v>
      </c>
      <c r="G20" s="5">
        <v>55</v>
      </c>
      <c r="H20" s="1">
        <f t="shared" si="0"/>
        <v>140</v>
      </c>
      <c r="J20">
        <v>10004</v>
      </c>
      <c r="K20">
        <v>105</v>
      </c>
      <c r="L20">
        <v>260</v>
      </c>
      <c r="M20">
        <v>0</v>
      </c>
      <c r="N20">
        <v>135</v>
      </c>
    </row>
    <row r="21" spans="3:14" ht="15.6" thickTop="1" thickBot="1" x14ac:dyDescent="0.35">
      <c r="C21" s="5">
        <v>10004</v>
      </c>
      <c r="D21" s="5" t="s">
        <v>2</v>
      </c>
      <c r="E21" s="5">
        <v>5</v>
      </c>
      <c r="F21" s="5">
        <v>80</v>
      </c>
      <c r="G21" s="5">
        <v>60</v>
      </c>
      <c r="H21" s="1">
        <f t="shared" si="0"/>
        <v>145</v>
      </c>
      <c r="J21">
        <v>10003</v>
      </c>
      <c r="K21">
        <v>140</v>
      </c>
      <c r="L21">
        <v>110</v>
      </c>
      <c r="M21">
        <v>270</v>
      </c>
      <c r="N21">
        <v>0</v>
      </c>
    </row>
    <row r="22" spans="3:14" ht="15.6" thickTop="1" thickBot="1" x14ac:dyDescent="0.35">
      <c r="C22" s="5">
        <v>10003</v>
      </c>
      <c r="D22" s="5" t="s">
        <v>3</v>
      </c>
      <c r="E22" s="5">
        <v>0</v>
      </c>
      <c r="F22" s="5">
        <v>85</v>
      </c>
      <c r="G22" s="5">
        <v>65</v>
      </c>
      <c r="H22" s="1">
        <f t="shared" si="0"/>
        <v>150</v>
      </c>
      <c r="J22">
        <v>10005</v>
      </c>
      <c r="K22">
        <v>100</v>
      </c>
      <c r="L22">
        <v>0</v>
      </c>
      <c r="M22">
        <v>125</v>
      </c>
      <c r="N22">
        <v>245</v>
      </c>
    </row>
    <row r="23" spans="3:14" ht="15.6" thickTop="1" thickBot="1" x14ac:dyDescent="0.35">
      <c r="C23" s="5">
        <v>10005</v>
      </c>
      <c r="D23" s="5" t="s">
        <v>4</v>
      </c>
      <c r="E23" s="5">
        <v>25</v>
      </c>
      <c r="F23" s="5">
        <v>40</v>
      </c>
      <c r="G23" s="5">
        <v>50</v>
      </c>
      <c r="H23" s="1">
        <f t="shared" si="0"/>
        <v>115</v>
      </c>
    </row>
    <row r="24" spans="3:14" ht="15" thickTop="1" x14ac:dyDescent="0.3"/>
  </sheetData>
  <mergeCells count="1">
    <mergeCell ref="J9:N9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2B8C7-6EC8-4F5B-AA9F-8C072E686C44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16"/>
  <sheetViews>
    <sheetView tabSelected="1" workbookViewId="0">
      <selection activeCell="C17" sqref="C17"/>
    </sheetView>
  </sheetViews>
  <sheetFormatPr baseColWidth="10" defaultRowHeight="14.4" x14ac:dyDescent="0.3"/>
  <cols>
    <col min="3" max="3" width="21" customWidth="1"/>
    <col min="4" max="4" width="11.5546875" customWidth="1"/>
    <col min="6" max="6" width="13.6640625" customWidth="1"/>
  </cols>
  <sheetData>
    <row r="2" spans="2:11" x14ac:dyDescent="0.3">
      <c r="B2" s="8"/>
      <c r="C2" s="8"/>
      <c r="D2" s="8"/>
      <c r="E2" s="8"/>
      <c r="F2" s="8"/>
      <c r="G2" s="8"/>
      <c r="H2" s="8"/>
      <c r="I2" s="8"/>
      <c r="J2" s="8"/>
      <c r="K2" s="8"/>
    </row>
    <row r="3" spans="2:11" ht="15" thickBot="1" x14ac:dyDescent="0.35"/>
    <row r="4" spans="2:11" ht="18" thickBot="1" x14ac:dyDescent="0.35">
      <c r="C4" s="32" t="s">
        <v>11</v>
      </c>
      <c r="D4" s="33"/>
      <c r="E4" s="33"/>
      <c r="F4" s="34"/>
    </row>
    <row r="5" spans="2:11" ht="15" thickBot="1" x14ac:dyDescent="0.35">
      <c r="C5" s="10" t="s">
        <v>6</v>
      </c>
      <c r="D5" s="17" t="s">
        <v>8</v>
      </c>
      <c r="F5" s="16" t="s">
        <v>7</v>
      </c>
    </row>
    <row r="6" spans="2:11" ht="15" thickBot="1" x14ac:dyDescent="0.35">
      <c r="C6" s="22">
        <v>6</v>
      </c>
      <c r="D6" s="18">
        <v>18</v>
      </c>
      <c r="F6" s="9">
        <v>56</v>
      </c>
    </row>
    <row r="7" spans="2:11" ht="15" thickBot="1" x14ac:dyDescent="0.35">
      <c r="C7" s="12"/>
      <c r="D7" s="17" t="s">
        <v>9</v>
      </c>
      <c r="F7" s="11"/>
    </row>
    <row r="8" spans="2:11" ht="15" thickBot="1" x14ac:dyDescent="0.35">
      <c r="C8" s="13"/>
      <c r="D8" s="9">
        <v>8</v>
      </c>
      <c r="E8" s="14"/>
      <c r="F8" s="15"/>
    </row>
    <row r="15" spans="2:11" ht="15" thickBot="1" x14ac:dyDescent="0.35">
      <c r="C15" s="19" t="s">
        <v>10</v>
      </c>
      <c r="D15" s="19" t="s">
        <v>12</v>
      </c>
      <c r="E15" s="19" t="s">
        <v>13</v>
      </c>
    </row>
    <row r="16" spans="2:11" ht="15" thickBot="1" x14ac:dyDescent="0.35">
      <c r="C16" s="21">
        <v>200</v>
      </c>
      <c r="D16" s="18">
        <v>25</v>
      </c>
      <c r="E16" s="20">
        <v>175</v>
      </c>
    </row>
  </sheetData>
  <mergeCells count="1">
    <mergeCell ref="C4:F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GRAFICA DE FUNCIONES</vt:lpstr>
      <vt:lpstr>FORMATO_CONDICIONAL</vt:lpstr>
      <vt:lpstr>FUNCION_SUMAR</vt:lpstr>
      <vt:lpstr>Hoja1</vt:lpstr>
      <vt:lpstr>BUSCAR_H BUSCAR_V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Stefanny Salas Jimenez</cp:lastModifiedBy>
  <dcterms:created xsi:type="dcterms:W3CDTF">2017-08-04T16:44:58Z</dcterms:created>
  <dcterms:modified xsi:type="dcterms:W3CDTF">2026-02-14T17:46:22Z</dcterms:modified>
</cp:coreProperties>
</file>