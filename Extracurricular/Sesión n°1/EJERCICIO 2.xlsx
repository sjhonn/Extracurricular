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efa\Desktop\Sesión n°1\"/>
    </mc:Choice>
  </mc:AlternateContent>
  <xr:revisionPtr revIDLastSave="0" documentId="13_ncr:1_{6E7141D7-1AE2-4D77-A2C2-0940E5CB3473}" xr6:coauthVersionLast="47" xr6:coauthVersionMax="47" xr10:uidLastSave="{00000000-0000-0000-0000-000000000000}"/>
  <bookViews>
    <workbookView xWindow="-108" yWindow="-108" windowWidth="23256" windowHeight="12456" tabRatio="879" activeTab="9" xr2:uid="{00000000-000D-0000-FFFF-FFFF00000000}"/>
  </bookViews>
  <sheets>
    <sheet name="FORM1" sheetId="8" r:id="rId1"/>
    <sheet name="FORM2" sheetId="9" r:id="rId2"/>
    <sheet name="RR 1" sheetId="11" r:id="rId3"/>
    <sheet name="RR 2" sheetId="12" r:id="rId4"/>
    <sheet name="RA 3" sheetId="15" r:id="rId5"/>
    <sheet name="RA 4" sheetId="16" r:id="rId6"/>
    <sheet name="RA 5" sheetId="18" r:id="rId7"/>
    <sheet name="FUNC1" sheetId="19" r:id="rId8"/>
    <sheet name="FUNC2" sheetId="20" r:id="rId9"/>
    <sheet name="FUN3" sheetId="21" r:id="rId10"/>
  </sheets>
  <externalReferences>
    <externalReference r:id="rId11"/>
  </externalReferences>
  <definedNames>
    <definedName name="_f" hidden="1">3</definedName>
    <definedName name="_xlnm._FilterDatabase" localSheetId="1" hidden="1">FORM2!$B$2:$G$8</definedName>
    <definedName name="_xlnm._FilterDatabase" localSheetId="2" hidden="1">'RR 1'!$A$1:$E$14</definedName>
    <definedName name="anscount" localSheetId="1" hidden="1">7</definedName>
    <definedName name="anscount" hidden="1">2</definedName>
    <definedName name="año">#REF!</definedName>
    <definedName name="area_de_extraccionnn">#REF!</definedName>
    <definedName name="BUSCAR" localSheetId="1">#REF!</definedName>
    <definedName name="BUSCAR" localSheetId="9">#REF!</definedName>
    <definedName name="CIUDAD" localSheetId="1">#REF!</definedName>
    <definedName name="CIUDAD" localSheetId="9">#REF!</definedName>
    <definedName name="Clientes" localSheetId="1">#REF!</definedName>
    <definedName name="dd" localSheetId="1">'[1]tabla (3)'!$A$1:$D$5</definedName>
    <definedName name="ddd" localSheetId="1">#REF!</definedName>
    <definedName name="dddrr" localSheetId="1">#REF!</definedName>
    <definedName name="departamento">#REF!</definedName>
    <definedName name="DIRECCION" localSheetId="1">#REF!</definedName>
    <definedName name="DIRECCION" localSheetId="9">#REF!</definedName>
    <definedName name="DP">#REF!</definedName>
    <definedName name="ff" localSheetId="1" hidden="1">3</definedName>
    <definedName name="ff" hidden="1">2</definedName>
    <definedName name="final" localSheetId="1">#REF!</definedName>
    <definedName name="GONZALEZ" localSheetId="1">#REF!</definedName>
    <definedName name="hh" localSheetId="1">#REF!</definedName>
    <definedName name="hhh" localSheetId="1">#REF!</definedName>
    <definedName name="hola">#REF!</definedName>
    <definedName name="jjjj" localSheetId="1">#REF!</definedName>
    <definedName name="limcount" hidden="1">3</definedName>
    <definedName name="lopu" hidden="1">2</definedName>
    <definedName name="lplp" hidden="1">3</definedName>
    <definedName name="nacionalidad">#REF!</definedName>
    <definedName name="pais">#REF!</definedName>
    <definedName name="Productos" localSheetId="1">#REF!</definedName>
    <definedName name="rr" localSheetId="1">#REF!</definedName>
    <definedName name="RUT" localSheetId="1">#REF!</definedName>
    <definedName name="RUT" localSheetId="9">#REF!</definedName>
    <definedName name="sencount" localSheetId="1" hidden="1">2</definedName>
    <definedName name="sencount" hidden="1">1</definedName>
    <definedName name="solver_adj" localSheetId="1" hidden="1">FORM2!$F$8,FORM2!$E$8</definedName>
    <definedName name="solver_cvg" localSheetId="1" hidden="1">0.001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hs1" localSheetId="1" hidden="1">FORM2!$E$8</definedName>
    <definedName name="solver_lin" localSheetId="1" hidden="1">2</definedName>
    <definedName name="solver_neg" localSheetId="1" hidden="1">2</definedName>
    <definedName name="solver_num" localSheetId="1" hidden="1">1</definedName>
    <definedName name="solver_nwt" localSheetId="1" hidden="1">1</definedName>
    <definedName name="solver_opt" localSheetId="1" hidden="1">FORM2!$G$3</definedName>
    <definedName name="solver_pre" localSheetId="1" hidden="1">0.000001</definedName>
    <definedName name="solver_rel1" localSheetId="1" hidden="1">2</definedName>
    <definedName name="solver_rhs1" localSheetId="1" hidden="1">6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4.5</definedName>
    <definedName name="ss" localSheetId="1">#REF!</definedName>
    <definedName name="sueldo">#REF!</definedName>
    <definedName name="tabla" localSheetId="1">#REF!</definedName>
    <definedName name="TABLITA" localSheetId="1">#REF!</definedName>
    <definedName name="tttt" localSheetId="1">#REF!</definedName>
    <definedName name="Ventas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21" l="1"/>
  <c r="B23" i="21"/>
  <c r="B22" i="21"/>
  <c r="B21" i="21"/>
  <c r="C14" i="20"/>
  <c r="C13" i="20"/>
  <c r="F11" i="20"/>
  <c r="F10" i="20"/>
  <c r="F9" i="20"/>
  <c r="F8" i="20"/>
  <c r="F7" i="20"/>
  <c r="F6" i="20"/>
  <c r="D22" i="19"/>
  <c r="D16" i="19"/>
  <c r="D18" i="19"/>
  <c r="D20" i="19"/>
  <c r="E12" i="18"/>
  <c r="E6" i="18"/>
  <c r="E7" i="18"/>
  <c r="E8" i="18"/>
  <c r="E9" i="18"/>
  <c r="E10" i="18"/>
  <c r="E11" i="18"/>
  <c r="E5" i="18"/>
  <c r="D6" i="18"/>
  <c r="D7" i="18"/>
  <c r="D8" i="18"/>
  <c r="D9" i="18"/>
  <c r="D10" i="18"/>
  <c r="D11" i="18"/>
  <c r="D5" i="18"/>
  <c r="E6" i="16"/>
  <c r="E8" i="16"/>
  <c r="E7" i="16"/>
  <c r="E5" i="16"/>
  <c r="E4" i="16"/>
  <c r="E3" i="16"/>
  <c r="E2" i="16"/>
  <c r="D3" i="16"/>
  <c r="D4" i="16"/>
  <c r="D5" i="16"/>
  <c r="D6" i="16"/>
  <c r="D7" i="16"/>
  <c r="D8" i="16"/>
  <c r="D2" i="16"/>
  <c r="G7" i="15"/>
  <c r="G8" i="15"/>
  <c r="G9" i="15"/>
  <c r="G6" i="15"/>
  <c r="F7" i="15"/>
  <c r="F8" i="15"/>
  <c r="F9" i="15"/>
  <c r="F6" i="15"/>
  <c r="E7" i="15"/>
  <c r="E8" i="15"/>
  <c r="E9" i="15"/>
  <c r="E6" i="15"/>
  <c r="D9" i="15"/>
  <c r="D8" i="15"/>
  <c r="D7" i="15"/>
  <c r="D6" i="15"/>
  <c r="G8" i="9"/>
  <c r="G4" i="9"/>
  <c r="G5" i="9"/>
  <c r="G6" i="9"/>
  <c r="G7" i="9"/>
  <c r="G3" i="9"/>
  <c r="F9" i="12"/>
  <c r="F4" i="12"/>
  <c r="F5" i="12"/>
  <c r="F6" i="12"/>
  <c r="F7" i="12"/>
  <c r="F8" i="12"/>
  <c r="F3" i="12"/>
  <c r="E8" i="12"/>
  <c r="E7" i="12"/>
  <c r="E6" i="12"/>
  <c r="E5" i="12"/>
  <c r="E4" i="12"/>
  <c r="E3" i="12"/>
  <c r="D4" i="12"/>
  <c r="D5" i="12"/>
  <c r="D6" i="12"/>
  <c r="D7" i="12"/>
  <c r="D8" i="12"/>
  <c r="D3" i="12"/>
  <c r="E4" i="11"/>
  <c r="E5" i="11"/>
  <c r="E6" i="11"/>
  <c r="E7" i="11"/>
  <c r="E8" i="11"/>
  <c r="E9" i="11"/>
  <c r="E10" i="11"/>
  <c r="E11" i="11"/>
  <c r="E12" i="11"/>
  <c r="E13" i="11"/>
  <c r="E14" i="11"/>
  <c r="E3" i="11"/>
  <c r="D4" i="11"/>
  <c r="D5" i="11"/>
  <c r="D6" i="11"/>
  <c r="D7" i="11"/>
  <c r="D8" i="11"/>
  <c r="D9" i="11"/>
  <c r="D10" i="11"/>
  <c r="D11" i="11"/>
  <c r="D12" i="11"/>
  <c r="D13" i="11"/>
  <c r="D14" i="11"/>
  <c r="D3" i="11"/>
  <c r="D4" i="8"/>
  <c r="D5" i="8"/>
  <c r="D6" i="8"/>
  <c r="D7" i="8"/>
  <c r="D8" i="8"/>
  <c r="D9" i="8"/>
  <c r="D10" i="8"/>
  <c r="D11" i="8"/>
  <c r="D12" i="8"/>
  <c r="D3" i="8"/>
  <c r="A11" i="12"/>
  <c r="C4" i="19"/>
  <c r="D4" i="19"/>
  <c r="E4" i="19" s="1"/>
  <c r="C5" i="19"/>
  <c r="D5" i="19"/>
  <c r="C6" i="19"/>
  <c r="D6" i="19"/>
  <c r="E6" i="19" s="1"/>
  <c r="C7" i="19"/>
  <c r="D7" i="19"/>
  <c r="C8" i="19"/>
  <c r="E8" i="19" s="1"/>
  <c r="D8" i="19"/>
  <c r="C9" i="19"/>
  <c r="E9" i="19" s="1"/>
  <c r="D9" i="19"/>
  <c r="C10" i="19"/>
  <c r="E10" i="19" s="1"/>
  <c r="D10" i="19"/>
  <c r="C11" i="19"/>
  <c r="D11" i="19"/>
  <c r="E11" i="19"/>
  <c r="C12" i="19"/>
  <c r="E12" i="19" s="1"/>
  <c r="D12" i="19"/>
  <c r="C13" i="19"/>
  <c r="E13" i="19"/>
  <c r="D13" i="19"/>
  <c r="C14" i="19"/>
  <c r="D14" i="19"/>
  <c r="E14" i="19"/>
  <c r="E7" i="19" l="1"/>
  <c r="E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deuda anterior menos pago</t>
        </r>
      </text>
    </comment>
    <comment ref="E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pago entre deuda anterior convertir a porcentaje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</author>
  </authors>
  <commentList>
    <comment ref="D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CANTIDAD X VALOR UNITARIO</t>
        </r>
      </text>
    </comment>
    <comment ref="E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TOTAL X IGV (CELDA DE ABAJO - APLICAR CELDA ABSOLUTA)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</author>
  </authors>
  <commentList>
    <comment ref="E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INGRESOS POR COMISION CELDA DE ABAJO (COMISION)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</author>
  </authors>
  <commentList>
    <comment ref="D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PASAJE US$ + TASA DE EMBARQUE</t>
        </r>
      </text>
    </comment>
    <comment ref="E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COSTO TOTAL DE VIAJE + COMIDA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</author>
  </authors>
  <commentList>
    <comment ref="D1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MAX</t>
        </r>
      </text>
    </comment>
    <comment ref="D18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MIN</t>
        </r>
      </text>
    </comment>
    <comment ref="D20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PROMEDIO</t>
        </r>
      </text>
    </comment>
    <comment ref="D22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SUMA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</author>
  </authors>
  <commentList>
    <comment ref="F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HALLAR EL PROMEDIO DE LAS NOTAS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</author>
  </authors>
  <commentList>
    <comment ref="B2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Autonoma:</t>
        </r>
        <r>
          <rPr>
            <sz val="9"/>
            <color indexed="81"/>
            <rFont val="Tahoma"/>
            <family val="2"/>
          </rPr>
          <t xml:space="preserve">
SUMA</t>
        </r>
      </text>
    </comment>
  </commentList>
</comments>
</file>

<file path=xl/sharedStrings.xml><?xml version="1.0" encoding="utf-8"?>
<sst xmlns="http://schemas.openxmlformats.org/spreadsheetml/2006/main" count="225" uniqueCount="188">
  <si>
    <t>1.- Calcule El Promedio De Notas De Cada Alumno</t>
  </si>
  <si>
    <t>2.- Complete El Cuadro Que Aparece Al Final</t>
  </si>
  <si>
    <t>3.- De Un Formato Adecuado</t>
  </si>
  <si>
    <t>Monto 
(en miles)</t>
  </si>
  <si>
    <t xml:space="preserve"> </t>
  </si>
  <si>
    <t>Materiales de Apoyo</t>
  </si>
  <si>
    <t>Art</t>
  </si>
  <si>
    <t>Cantidad</t>
  </si>
  <si>
    <t>Costo unit</t>
  </si>
  <si>
    <t>Costo Total</t>
  </si>
  <si>
    <t>Mesas</t>
  </si>
  <si>
    <t>Sillas</t>
  </si>
  <si>
    <t>Lamparas</t>
  </si>
  <si>
    <t>Escritorios</t>
  </si>
  <si>
    <t>Sofá</t>
  </si>
  <si>
    <t>Revistero</t>
  </si>
  <si>
    <t>Papelero</t>
  </si>
  <si>
    <t>Armario</t>
  </si>
  <si>
    <t>Archivador</t>
  </si>
  <si>
    <t>Perchero</t>
  </si>
  <si>
    <t>El Costo Total corresponde al producto entre la Cantidad y el Costo Unitario</t>
  </si>
  <si>
    <t>Aplique un formato de MONEDA a los valores que correspondan</t>
  </si>
  <si>
    <t>Alinear los titulos de manera que queden centrados y de un COLOR de relleno Verde</t>
  </si>
  <si>
    <t>Alumnos</t>
  </si>
  <si>
    <t>C1</t>
  </si>
  <si>
    <t>C2</t>
  </si>
  <si>
    <t>C3</t>
  </si>
  <si>
    <t>E</t>
  </si>
  <si>
    <t>Nota Final</t>
  </si>
  <si>
    <t>José Araya</t>
  </si>
  <si>
    <t>Patricia Sepúlveda</t>
  </si>
  <si>
    <t>Andrés Gómez</t>
  </si>
  <si>
    <t>Juan Urzúa</t>
  </si>
  <si>
    <t>Camila Pino</t>
  </si>
  <si>
    <t>Joaquín Soto</t>
  </si>
  <si>
    <r>
      <t xml:space="preserve">Nota final </t>
    </r>
    <r>
      <rPr>
        <sz val="10"/>
        <rFont val="Arial"/>
      </rPr>
      <t>= C1*20% + c2*20% + c3*20% + examen*40%</t>
    </r>
  </si>
  <si>
    <t>Total</t>
  </si>
  <si>
    <t>MES</t>
  </si>
  <si>
    <t>DEUDA ANT.</t>
  </si>
  <si>
    <t>PAGO</t>
  </si>
  <si>
    <t>DEUDA ACTUAL</t>
  </si>
  <si>
    <t>PORCENTAJE DE PAGO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</si>
  <si>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</si>
  <si>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</si>
  <si>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</si>
  <si>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</si>
  <si>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</si>
  <si>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</si>
  <si>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</si>
  <si>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</si>
  <si>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</si>
  <si>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</si>
  <si>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</si>
  <si>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</si>
  <si>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t xml:space="preserve">La </t>
    </r>
    <r>
      <rPr>
        <b/>
        <sz val="11"/>
        <rFont val="Arial"/>
        <family val="2"/>
      </rPr>
      <t>deuda actual</t>
    </r>
    <r>
      <rPr>
        <sz val="10"/>
        <rFont val="Arial"/>
      </rPr>
      <t xml:space="preserve"> corresponde a la diferencia de la deuda anterior y el pago</t>
    </r>
  </si>
  <si>
    <r>
      <t xml:space="preserve">El </t>
    </r>
    <r>
      <rPr>
        <b/>
        <sz val="11"/>
        <rFont val="Arial"/>
        <family val="2"/>
      </rPr>
      <t xml:space="preserve">porcentaje de pago </t>
    </r>
    <r>
      <rPr>
        <sz val="10"/>
        <rFont val="Arial"/>
      </rPr>
      <t>se calcula usando la formula :</t>
    </r>
  </si>
  <si>
    <t xml:space="preserve">Pago </t>
  </si>
  <si>
    <t>Deuda Ant.</t>
  </si>
  <si>
    <t>Aplique un formato PORCENTAJE a los valores de la columna E, SIN decimales</t>
  </si>
  <si>
    <t>Detalle</t>
  </si>
  <si>
    <t>Valor unitario</t>
  </si>
  <si>
    <t>parlantes</t>
  </si>
  <si>
    <t>cassetes</t>
  </si>
  <si>
    <t>lapices</t>
  </si>
  <si>
    <t>porta cd</t>
  </si>
  <si>
    <t>cd platinums</t>
  </si>
  <si>
    <t>cajas porta cd</t>
  </si>
  <si>
    <t>total a pagar</t>
  </si>
  <si>
    <t>Costo Ventas</t>
  </si>
  <si>
    <t>Ingreso Ventas</t>
  </si>
  <si>
    <t>Costo</t>
  </si>
  <si>
    <t>Precio</t>
  </si>
  <si>
    <t>Datos</t>
  </si>
  <si>
    <t>Ganancia Neta</t>
  </si>
  <si>
    <t>Ganancia Bruta</t>
  </si>
  <si>
    <t>Articulos Vendidos</t>
  </si>
  <si>
    <t>Gastos Generales</t>
  </si>
  <si>
    <t>Etapas</t>
  </si>
  <si>
    <t>RESULTADOS</t>
  </si>
  <si>
    <t>MOVIMIENTOS DEL PERIODO</t>
  </si>
  <si>
    <t>Aplique los formatos de celda que crea correctos</t>
  </si>
  <si>
    <t>de Ingresos</t>
  </si>
  <si>
    <t>Comisión</t>
  </si>
  <si>
    <t>Muebles</t>
  </si>
  <si>
    <t>Alimentación</t>
  </si>
  <si>
    <t>Informatica</t>
  </si>
  <si>
    <t>libros</t>
  </si>
  <si>
    <t>bebidas</t>
  </si>
  <si>
    <t>limpieza</t>
  </si>
  <si>
    <t>Calzado</t>
  </si>
  <si>
    <t>Ingresos</t>
  </si>
  <si>
    <t>Precio Unidad</t>
  </si>
  <si>
    <t>Unid Vendidas</t>
  </si>
  <si>
    <t>Artïculo</t>
  </si>
  <si>
    <t>Nombre</t>
  </si>
  <si>
    <t>Costo total por viajar a todos los destinos</t>
  </si>
  <si>
    <t>Quito</t>
  </si>
  <si>
    <t>Lima</t>
  </si>
  <si>
    <t>Cali</t>
  </si>
  <si>
    <t>Bogota</t>
  </si>
  <si>
    <t>Caracas</t>
  </si>
  <si>
    <t>Rio</t>
  </si>
  <si>
    <t>Sao Paulo</t>
  </si>
  <si>
    <t>Costo total $</t>
  </si>
  <si>
    <t>Costo total viaje US$</t>
  </si>
  <si>
    <t>Tasa de embarque US$</t>
  </si>
  <si>
    <t>Pasaje US$</t>
  </si>
  <si>
    <t>Destino</t>
  </si>
  <si>
    <t>Cual es el total a pagar en sueldos?</t>
  </si>
  <si>
    <t>Cuanto es el promedio de los sueldos?</t>
  </si>
  <si>
    <t>Cuanto gana el empleado peor pagado?</t>
  </si>
  <si>
    <t>Cuanto gana el empleado mejor pagado?</t>
  </si>
  <si>
    <t>Victoria</t>
  </si>
  <si>
    <t>Nicolle</t>
  </si>
  <si>
    <t>Aylen</t>
  </si>
  <si>
    <t>Inti</t>
  </si>
  <si>
    <t>Darian</t>
  </si>
  <si>
    <t>Aurora</t>
  </si>
  <si>
    <t>Tiare</t>
  </si>
  <si>
    <t>Kiara</t>
  </si>
  <si>
    <t>Angel</t>
  </si>
  <si>
    <t>María</t>
  </si>
  <si>
    <t>Juan</t>
  </si>
  <si>
    <t>LIQUIDO A PAGAR</t>
  </si>
  <si>
    <t>DESCUENTO SALUD</t>
  </si>
  <si>
    <t>DESCUENTO AFP</t>
  </si>
  <si>
    <t>SUELDO BASE</t>
  </si>
  <si>
    <t>EMPLEADO</t>
  </si>
  <si>
    <t>SALUD</t>
  </si>
  <si>
    <t>AFP</t>
  </si>
  <si>
    <t>El promedio mas bajo es:</t>
  </si>
  <si>
    <t>El promedio mas alto es:</t>
  </si>
  <si>
    <t>Mauricio Jerez</t>
  </si>
  <si>
    <t>Alberto Lorca</t>
  </si>
  <si>
    <t>Romina Donoso</t>
  </si>
  <si>
    <t>Marcela Castillo</t>
  </si>
  <si>
    <t>Angel Zapata</t>
  </si>
  <si>
    <t>Arturo Castro</t>
  </si>
  <si>
    <t>Promedio</t>
  </si>
  <si>
    <t>Nota 4</t>
  </si>
  <si>
    <t>Nota 3</t>
  </si>
  <si>
    <t>Nota 2</t>
  </si>
  <si>
    <t>Nota 1</t>
  </si>
  <si>
    <t>Monto Mínimo Cancelado</t>
  </si>
  <si>
    <t>Monto Máximo Cancelado</t>
  </si>
  <si>
    <t xml:space="preserve">Promedio de los Montos </t>
  </si>
  <si>
    <t>Total de Montos</t>
  </si>
  <si>
    <t>Valparaíso</t>
  </si>
  <si>
    <t>mastercard</t>
  </si>
  <si>
    <t>Sep</t>
  </si>
  <si>
    <t>IVAN ZAMORANO NARANJO</t>
  </si>
  <si>
    <t>Santiago</t>
  </si>
  <si>
    <t>Feb</t>
  </si>
  <si>
    <t>EUGENIA DEL CARMEN ESPEJO CORTES</t>
  </si>
  <si>
    <t>Cuenta Corriente</t>
  </si>
  <si>
    <t>visa</t>
  </si>
  <si>
    <t>JORGE JULLIAN  FUENTES</t>
  </si>
  <si>
    <t>Mar</t>
  </si>
  <si>
    <t>CASTILLA TREVIÑO GUILLERMO Y OTRO</t>
  </si>
  <si>
    <t>Ene</t>
  </si>
  <si>
    <t>MARCELO AZOCAR</t>
  </si>
  <si>
    <t>Oct</t>
  </si>
  <si>
    <t>FORMULARIO Y ETIQUETAS LTDA.</t>
  </si>
  <si>
    <t>Crédito de Consumo</t>
  </si>
  <si>
    <t>Nov</t>
  </si>
  <si>
    <t>MONSALVE ACUÑA</t>
  </si>
  <si>
    <t>JARDIN INFANTIL INGLES LTDA</t>
  </si>
  <si>
    <t>CAMILO ITURRIAGA CANOBRA</t>
  </si>
  <si>
    <t>Dic</t>
  </si>
  <si>
    <t>PATRICIO DIAZ PARDO</t>
  </si>
  <si>
    <t>Ago</t>
  </si>
  <si>
    <t>LUIS TORRES HERRERA</t>
  </si>
  <si>
    <t>Viña del Mar</t>
  </si>
  <si>
    <t>CAROLINA ROMERO MORALES</t>
  </si>
  <si>
    <t>JOAQUIN SALINAS ORELLANA</t>
  </si>
  <si>
    <t>CALDERON VALDES LUIS ALBERTO Y OTRO</t>
  </si>
  <si>
    <t>Jul</t>
  </si>
  <si>
    <t>O. ENRIQUE BRAVO ASTUDILLO</t>
  </si>
  <si>
    <t>Región</t>
  </si>
  <si>
    <t>Producto</t>
  </si>
  <si>
    <t>Mes apertura</t>
  </si>
  <si>
    <t>Año apertura</t>
  </si>
  <si>
    <t>Cliente</t>
  </si>
  <si>
    <t>IGV</t>
  </si>
  <si>
    <r>
      <rPr>
        <b/>
        <sz val="16"/>
        <rFont val="Arial"/>
        <family val="2"/>
      </rPr>
      <t>Ingreso Ventas</t>
    </r>
    <r>
      <rPr>
        <sz val="16"/>
        <rFont val="Arial"/>
        <family val="2"/>
      </rPr>
      <t xml:space="preserve">= Articulos Vendidos*Precio
</t>
    </r>
    <r>
      <rPr>
        <b/>
        <sz val="16"/>
        <rFont val="Arial"/>
        <family val="2"/>
      </rPr>
      <t>Costo Ventas</t>
    </r>
    <r>
      <rPr>
        <sz val="16"/>
        <rFont val="Arial"/>
        <family val="2"/>
      </rPr>
      <t xml:space="preserve">=Articulos Vendidos*Costo  </t>
    </r>
  </si>
  <si>
    <r>
      <rPr>
        <b/>
        <sz val="10"/>
        <rFont val="Arial"/>
        <family val="2"/>
      </rPr>
      <t>La ganancia bruta</t>
    </r>
    <r>
      <rPr>
        <sz val="10"/>
        <rFont val="Arial"/>
        <family val="2"/>
      </rPr>
      <t xml:space="preserve"> = Ingreso de Venta-Costo Ventas</t>
    </r>
  </si>
  <si>
    <r>
      <t>La ganancia neta=</t>
    </r>
    <r>
      <rPr>
        <sz val="10"/>
        <rFont val="Arial"/>
        <family val="2"/>
      </rPr>
      <t>Ganancia bruta-Gastos Generales</t>
    </r>
  </si>
  <si>
    <t>COMIDA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</si>
</sst>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_ * #,##0.00_ ;_ * \-#,##0.00_ ;_ * &quot;-&quot;??_ ;_ @_ "/>
    <numFmt numFmtId="165" formatCode="&quot;$&quot;\ #,##0;[Red]\-&quot;$&quot;\ #,##0"/>
    <numFmt numFmtId="166" formatCode="_-&quot;$&quot;\ * #,##0.00_-;\-&quot;$&quot;\ * #,##0.00_-;_-&quot;$&quot;\ * &quot;-&quot;??_-;_-@_-"/>
    <numFmt numFmtId="167" formatCode="_ &quot;$&quot;\ * #,##0_ ;_ &quot;$&quot;\ * \-#,##0_ ;_ &quot;$&quot;\ * &quot;-&quot;_ ;_ @_ "/>
    <numFmt numFmtId="168" formatCode="_ &quot;$&quot;\ * #,##0.00_ ;_ &quot;$&quot;\ * \-#,##0.00_ ;_ &quot;$&quot;\ * &quot;-&quot;??_ ;_ @_ "/>
    <numFmt numFmtId="169" formatCode="_-&quot;$&quot;* #,##0_-;\-&quot;$&quot;* #,##0_-;_-&quot;$&quot;* &quot;-&quot;_-;_-@_-"/>
    <numFmt numFmtId="170" formatCode="mmmm\ d\,\ yyyy"/>
    <numFmt numFmtId="171" formatCode="0.0%"/>
    <numFmt numFmtId="172" formatCode="&quot;$&quot;#,##0.00"/>
    <numFmt numFmtId="173" formatCode="&quot;$&quot;#,##0_);[Red]\(&quot;$&quot;#,##0\)"/>
    <numFmt numFmtId="174" formatCode="[$€]\ #,##0"/>
    <numFmt numFmtId="175" formatCode="_-&quot;$&quot;* #,##0_-;\-&quot;$&quot;* #,##0_-;_-&quot;$&quot;* &quot;-&quot;??_-;_-@_-"/>
    <numFmt numFmtId="176" formatCode="_-&quot;$&quot;\ * #,##0_-;\-&quot;$&quot;\ * #,##0_-;_-&quot;$&quot;\ * &quot;-&quot;??_-;_-@_-"/>
    <numFmt numFmtId="177" formatCode="_(&quot;Ch$&quot;* #,##0.00_);_(&quot;Ch$&quot;* \(#,##0.00\);_(&quot;Ch$&quot;* &quot;-&quot;??_);_(@_)"/>
    <numFmt numFmtId="178" formatCode="_-[$$-340A]\ * #,##0_-;\-[$$-340A]\ * #,##0_-;_-[$$-340A]\ * &quot;-&quot;_-;_-@_-"/>
    <numFmt numFmtId="179" formatCode="_ * #,##0_ ;_ * \-#,##0_ ;_ * &quot;-&quot;??_ ;_ @_ "/>
    <numFmt numFmtId="180" formatCode="0.0"/>
    <numFmt numFmtId="181" formatCode="_-* #,##0\ _p_t_a_-;\-* #,##0\ _p_t_a_-;_-* &quot;-&quot;\ _p_t_a_-;_-@_-"/>
    <numFmt numFmtId="182" formatCode="_-[$€-2]\ * #,##0.00_-;\-[$€-2]\ * #,##0.00_-;_-[$€-2]\ * &quot;-&quot;??_-;_-@_-"/>
    <numFmt numFmtId="184" formatCode="&quot;S/&quot;\ #,##0.00"/>
    <numFmt numFmtId="185" formatCode="_-[$$-409]* #,##0.00_ ;_-[$$-409]* \-#,##0.00\ ;_-[$$-409]* &quot;-&quot;??_ ;_-@_ "/>
  </numFmts>
  <fonts count="4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lbertus Medium"/>
      <family val="2"/>
    </font>
    <font>
      <sz val="10"/>
      <name val="MS Sans Serif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9"/>
      <name val="Tahoma"/>
      <family val="2"/>
    </font>
    <font>
      <sz val="14"/>
      <name val="Tahoma"/>
      <family val="2"/>
    </font>
    <font>
      <sz val="11"/>
      <name val="Arial Narrow"/>
      <family val="2"/>
    </font>
    <font>
      <sz val="9"/>
      <name val="Tahoma"/>
      <family val="2"/>
    </font>
    <font>
      <sz val="10"/>
      <color indexed="8"/>
      <name val="MS Sans Serif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Arial"/>
      <family val="2"/>
    </font>
    <font>
      <b/>
      <sz val="16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62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/>
      <diagonal/>
    </border>
    <border>
      <left style="double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9"/>
      </right>
      <top style="double">
        <color indexed="9"/>
      </top>
      <bottom/>
      <diagonal/>
    </border>
    <border>
      <left style="double">
        <color indexed="9"/>
      </left>
      <right style="double">
        <color indexed="8"/>
      </right>
      <top style="double">
        <color indexed="9"/>
      </top>
      <bottom/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thin">
        <color indexed="8"/>
      </right>
      <top style="medium">
        <color indexed="9"/>
      </top>
      <bottom style="thin">
        <color indexed="8"/>
      </bottom>
      <diagonal/>
    </border>
    <border>
      <left style="medium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9"/>
      </left>
      <right/>
      <top style="double">
        <color indexed="9"/>
      </top>
      <bottom style="thin">
        <color indexed="9"/>
      </bottom>
      <diagonal/>
    </border>
    <border>
      <left/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9"/>
      </left>
      <right/>
      <top style="double">
        <color indexed="9"/>
      </top>
      <bottom style="double">
        <color indexed="9"/>
      </bottom>
      <diagonal/>
    </border>
    <border>
      <left/>
      <right/>
      <top style="double">
        <color indexed="9"/>
      </top>
      <bottom style="double">
        <color indexed="9"/>
      </bottom>
      <diagonal/>
    </border>
    <border>
      <left/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</borders>
  <cellStyleXfs count="148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30" fillId="3" borderId="0" applyNumberFormat="0" applyBorder="0" applyAlignment="0" applyProtection="0"/>
    <xf numFmtId="170" fontId="5" fillId="0" borderId="0" applyFill="0" applyBorder="0" applyAlignment="0"/>
    <xf numFmtId="171" fontId="3" fillId="0" borderId="0" applyFill="0" applyBorder="0" applyAlignment="0"/>
    <xf numFmtId="172" fontId="3" fillId="0" borderId="0" applyFill="0" applyBorder="0" applyAlignment="0"/>
    <xf numFmtId="0" fontId="25" fillId="20" borderId="1" applyNumberFormat="0" applyAlignment="0" applyProtection="0"/>
    <xf numFmtId="0" fontId="26" fillId="21" borderId="2" applyNumberFormat="0" applyAlignment="0" applyProtection="0"/>
    <xf numFmtId="38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5" fontId="7" fillId="22" borderId="4"/>
    <xf numFmtId="170" fontId="5" fillId="0" borderId="0" applyFill="0" applyBorder="0" applyAlignment="0"/>
    <xf numFmtId="174" fontId="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4" fontId="2" fillId="0" borderId="0" applyFill="0" applyBorder="0" applyProtection="0">
      <alignment horizontal="center" vertical="center"/>
    </xf>
    <xf numFmtId="0" fontId="24" fillId="4" borderId="0" applyNumberFormat="0" applyBorder="0" applyAlignment="0" applyProtection="0"/>
    <xf numFmtId="38" fontId="8" fillId="22" borderId="0" applyNumberFormat="0" applyBorder="0" applyAlignment="0" applyProtection="0"/>
    <xf numFmtId="0" fontId="9" fillId="0" borderId="6" applyNumberFormat="0" applyAlignment="0" applyProtection="0">
      <alignment horizontal="left" vertical="center"/>
    </xf>
    <xf numFmtId="0" fontId="9" fillId="0" borderId="7">
      <alignment horizontal="left" vertical="center"/>
    </xf>
    <xf numFmtId="0" fontId="10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36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9" fillId="7" borderId="1" applyNumberFormat="0" applyAlignment="0" applyProtection="0"/>
    <xf numFmtId="10" fontId="8" fillId="23" borderId="10" applyNumberFormat="0" applyBorder="0" applyAlignment="0" applyProtection="0"/>
    <xf numFmtId="170" fontId="5" fillId="0" borderId="0" applyFill="0" applyBorder="0" applyAlignment="0"/>
    <xf numFmtId="0" fontId="27" fillId="0" borderId="3" applyNumberFormat="0" applyFill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3" fontId="2" fillId="0" borderId="0" applyFill="0" applyBorder="0" applyAlignment="0" applyProtection="0"/>
    <xf numFmtId="3" fontId="3" fillId="0" borderId="0" applyFill="0" applyBorder="0" applyAlignment="0" applyProtection="0"/>
    <xf numFmtId="3" fontId="2" fillId="0" borderId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64" fontId="2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18" fillId="0" borderId="0" applyFont="0" applyFill="0" applyBorder="0" applyAlignment="0" applyProtection="0"/>
    <xf numFmtId="174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68" fontId="3" fillId="0" borderId="0" applyFont="0" applyFill="0" applyBorder="0" applyAlignment="0" applyProtection="0"/>
    <xf numFmtId="182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3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70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66" fontId="3" fillId="0" borderId="0" applyFont="0" applyFill="0" applyBorder="0" applyAlignment="0" applyProtection="0"/>
    <xf numFmtId="177" fontId="16" fillId="0" borderId="0" applyFont="0" applyFill="0" applyBorder="0" applyAlignment="0" applyProtection="0"/>
    <xf numFmtId="17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3" fillId="0" borderId="0"/>
    <xf numFmtId="0" fontId="22" fillId="0" borderId="0"/>
    <xf numFmtId="0" fontId="2" fillId="0" borderId="0"/>
    <xf numFmtId="0" fontId="13" fillId="0" borderId="0"/>
    <xf numFmtId="0" fontId="16" fillId="0" borderId="0"/>
    <xf numFmtId="0" fontId="22" fillId="24" borderId="11" applyNumberFormat="0" applyFont="0" applyAlignment="0" applyProtection="0"/>
    <xf numFmtId="0" fontId="31" fillId="20" borderId="12" applyNumberFormat="0" applyAlignment="0" applyProtection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Protection="0">
      <alignment horizontal="right"/>
    </xf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/>
    <xf numFmtId="170" fontId="5" fillId="0" borderId="0" applyFill="0" applyBorder="0" applyAlignment="0"/>
    <xf numFmtId="49" fontId="11" fillId="0" borderId="0" applyFill="0" applyBorder="0" applyAlignment="0"/>
    <xf numFmtId="170" fontId="5" fillId="0" borderId="0" applyFill="0" applyBorder="0" applyAlignment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11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14" fillId="0" borderId="0" xfId="131" applyFont="1"/>
    <xf numFmtId="0" fontId="15" fillId="0" borderId="10" xfId="131" applyFont="1" applyBorder="1"/>
    <xf numFmtId="0" fontId="13" fillId="0" borderId="0" xfId="131"/>
    <xf numFmtId="0" fontId="0" fillId="0" borderId="0" xfId="0" applyAlignment="1">
      <alignment horizontal="right"/>
    </xf>
    <xf numFmtId="0" fontId="0" fillId="0" borderId="0" xfId="0" applyBorder="1"/>
    <xf numFmtId="0" fontId="16" fillId="0" borderId="0" xfId="132"/>
    <xf numFmtId="175" fontId="16" fillId="0" borderId="10" xfId="120" applyNumberFormat="1" applyBorder="1"/>
    <xf numFmtId="0" fontId="16" fillId="0" borderId="0" xfId="132" applyAlignment="1">
      <alignment horizontal="center" vertical="center" wrapText="1"/>
    </xf>
    <xf numFmtId="0" fontId="4" fillId="0" borderId="0" xfId="0" applyFont="1" applyAlignment="1">
      <alignment horizontal="center"/>
    </xf>
    <xf numFmtId="176" fontId="18" fillId="0" borderId="0" xfId="119" applyNumberFormat="1" applyFont="1"/>
    <xf numFmtId="0" fontId="0" fillId="0" borderId="0" xfId="0" applyFill="1"/>
    <xf numFmtId="0" fontId="20" fillId="25" borderId="14" xfId="0" applyFont="1" applyFill="1" applyBorder="1" applyAlignment="1">
      <alignment horizontal="center"/>
    </xf>
    <xf numFmtId="0" fontId="20" fillId="25" borderId="15" xfId="0" applyFont="1" applyFill="1" applyBorder="1" applyAlignment="1">
      <alignment horizontal="center"/>
    </xf>
    <xf numFmtId="0" fontId="20" fillId="25" borderId="16" xfId="0" applyFont="1" applyFill="1" applyBorder="1" applyAlignment="1">
      <alignment horizontal="center"/>
    </xf>
    <xf numFmtId="0" fontId="19" fillId="26" borderId="17" xfId="0" applyFont="1" applyFill="1" applyBorder="1" applyAlignment="1">
      <alignment horizontal="center"/>
    </xf>
    <xf numFmtId="0" fontId="19" fillId="26" borderId="10" xfId="0" applyFont="1" applyFill="1" applyBorder="1" applyAlignment="1">
      <alignment horizontal="center"/>
    </xf>
    <xf numFmtId="3" fontId="19" fillId="26" borderId="10" xfId="0" applyNumberFormat="1" applyFont="1" applyFill="1" applyBorder="1" applyAlignment="1">
      <alignment horizontal="center"/>
    </xf>
    <xf numFmtId="0" fontId="19" fillId="26" borderId="18" xfId="0" applyFont="1" applyFill="1" applyBorder="1" applyAlignment="1">
      <alignment horizontal="center"/>
    </xf>
    <xf numFmtId="0" fontId="19" fillId="26" borderId="19" xfId="0" applyFont="1" applyFill="1" applyBorder="1" applyAlignment="1">
      <alignment horizontal="center"/>
    </xf>
    <xf numFmtId="3" fontId="19" fillId="26" borderId="19" xfId="0" applyNumberFormat="1" applyFont="1" applyFill="1" applyBorder="1" applyAlignment="1">
      <alignment horizontal="center"/>
    </xf>
    <xf numFmtId="0" fontId="20" fillId="25" borderId="20" xfId="0" applyFont="1" applyFill="1" applyBorder="1" applyAlignment="1">
      <alignment horizontal="center"/>
    </xf>
    <xf numFmtId="0" fontId="20" fillId="25" borderId="21" xfId="0" applyFont="1" applyFill="1" applyBorder="1" applyAlignment="1">
      <alignment horizontal="center"/>
    </xf>
    <xf numFmtId="0" fontId="20" fillId="25" borderId="22" xfId="0" applyFont="1" applyFill="1" applyBorder="1" applyAlignment="1">
      <alignment horizontal="center"/>
    </xf>
    <xf numFmtId="0" fontId="20" fillId="25" borderId="23" xfId="0" applyFont="1" applyFill="1" applyBorder="1" applyAlignment="1">
      <alignment horizontal="center"/>
    </xf>
    <xf numFmtId="0" fontId="20" fillId="25" borderId="24" xfId="0" applyFont="1" applyFill="1" applyBorder="1" applyAlignment="1">
      <alignment horizontal="center" vertical="center"/>
    </xf>
    <xf numFmtId="0" fontId="19" fillId="26" borderId="17" xfId="0" applyFont="1" applyFill="1" applyBorder="1" applyAlignment="1">
      <alignment horizontal="left"/>
    </xf>
    <xf numFmtId="0" fontId="19" fillId="26" borderId="18" xfId="0" applyFont="1" applyFill="1" applyBorder="1" applyAlignment="1">
      <alignment horizontal="left"/>
    </xf>
    <xf numFmtId="0" fontId="19" fillId="26" borderId="21" xfId="0" applyNumberFormat="1" applyFont="1" applyFill="1" applyBorder="1" applyAlignment="1"/>
    <xf numFmtId="0" fontId="19" fillId="26" borderId="10" xfId="0" applyNumberFormat="1" applyFont="1" applyFill="1" applyBorder="1" applyAlignment="1"/>
    <xf numFmtId="0" fontId="19" fillId="26" borderId="19" xfId="0" applyNumberFormat="1" applyFont="1" applyFill="1" applyBorder="1" applyAlignment="1"/>
    <xf numFmtId="9" fontId="21" fillId="26" borderId="17" xfId="136" applyFont="1" applyFill="1" applyBorder="1" applyAlignment="1">
      <alignment horizontal="center"/>
    </xf>
    <xf numFmtId="3" fontId="19" fillId="26" borderId="10" xfId="0" applyNumberFormat="1" applyFont="1" applyFill="1" applyBorder="1" applyAlignment="1"/>
    <xf numFmtId="0" fontId="19" fillId="26" borderId="10" xfId="0" applyFont="1" applyFill="1" applyBorder="1" applyAlignment="1"/>
    <xf numFmtId="0" fontId="0" fillId="0" borderId="0" xfId="0" applyBorder="1" applyAlignment="1">
      <alignment horizontal="center"/>
    </xf>
    <xf numFmtId="0" fontId="20" fillId="25" borderId="25" xfId="0" applyFont="1" applyFill="1" applyBorder="1" applyAlignment="1">
      <alignment horizontal="center" vertical="center" wrapText="1"/>
    </xf>
    <xf numFmtId="0" fontId="20" fillId="25" borderId="26" xfId="0" applyFont="1" applyFill="1" applyBorder="1" applyAlignment="1">
      <alignment horizontal="center" vertical="center" wrapText="1"/>
    </xf>
    <xf numFmtId="0" fontId="19" fillId="26" borderId="27" xfId="0" applyFont="1" applyFill="1" applyBorder="1" applyAlignment="1"/>
    <xf numFmtId="0" fontId="19" fillId="26" borderId="28" xfId="0" applyFont="1" applyFill="1" applyBorder="1" applyAlignment="1"/>
    <xf numFmtId="3" fontId="19" fillId="26" borderId="28" xfId="0" applyNumberFormat="1" applyFont="1" applyFill="1" applyBorder="1" applyAlignment="1"/>
    <xf numFmtId="0" fontId="19" fillId="26" borderId="29" xfId="0" applyFont="1" applyFill="1" applyBorder="1" applyAlignment="1"/>
    <xf numFmtId="0" fontId="19" fillId="26" borderId="30" xfId="0" applyFont="1" applyFill="1" applyBorder="1" applyAlignment="1"/>
    <xf numFmtId="3" fontId="19" fillId="26" borderId="30" xfId="0" applyNumberFormat="1" applyFont="1" applyFill="1" applyBorder="1" applyAlignment="1"/>
    <xf numFmtId="0" fontId="20" fillId="25" borderId="31" xfId="0" applyFont="1" applyFill="1" applyBorder="1" applyAlignment="1">
      <alignment horizontal="center" vertical="center" wrapText="1"/>
    </xf>
    <xf numFmtId="0" fontId="20" fillId="25" borderId="32" xfId="0" applyFont="1" applyFill="1" applyBorder="1" applyAlignment="1">
      <alignment horizontal="center" vertical="center" wrapText="1"/>
    </xf>
    <xf numFmtId="0" fontId="20" fillId="25" borderId="33" xfId="0" applyFont="1" applyFill="1" applyBorder="1" applyAlignment="1">
      <alignment horizontal="center" vertical="center" wrapText="1"/>
    </xf>
    <xf numFmtId="0" fontId="19" fillId="26" borderId="34" xfId="0" applyFont="1" applyFill="1" applyBorder="1" applyAlignment="1"/>
    <xf numFmtId="0" fontId="19" fillId="26" borderId="35" xfId="0" applyFont="1" applyFill="1" applyBorder="1" applyAlignment="1"/>
    <xf numFmtId="0" fontId="19" fillId="26" borderId="36" xfId="0" applyFont="1" applyFill="1" applyBorder="1" applyAlignment="1"/>
    <xf numFmtId="0" fontId="20" fillId="25" borderId="37" xfId="0" applyFont="1" applyFill="1" applyBorder="1" applyAlignment="1">
      <alignment horizontal="center" vertical="center" wrapText="1"/>
    </xf>
    <xf numFmtId="0" fontId="20" fillId="25" borderId="38" xfId="0" applyFont="1" applyFill="1" applyBorder="1" applyAlignment="1">
      <alignment horizontal="center" vertical="center" wrapText="1"/>
    </xf>
    <xf numFmtId="0" fontId="20" fillId="25" borderId="39" xfId="0" applyFont="1" applyFill="1" applyBorder="1" applyAlignment="1">
      <alignment horizontal="center" vertical="center" wrapText="1"/>
    </xf>
    <xf numFmtId="0" fontId="20" fillId="25" borderId="40" xfId="0" applyFont="1" applyFill="1" applyBorder="1" applyAlignment="1">
      <alignment horizontal="center" vertical="center" wrapText="1"/>
    </xf>
    <xf numFmtId="9" fontId="4" fillId="0" borderId="41" xfId="137" applyFont="1" applyFill="1" applyBorder="1" applyAlignment="1">
      <alignment horizontal="center"/>
    </xf>
    <xf numFmtId="9" fontId="4" fillId="0" borderId="42" xfId="137" applyFont="1" applyFill="1" applyBorder="1" applyAlignment="1">
      <alignment horizontal="center"/>
    </xf>
    <xf numFmtId="0" fontId="4" fillId="0" borderId="0" xfId="0" applyFont="1" applyAlignment="1"/>
    <xf numFmtId="3" fontId="19" fillId="26" borderId="34" xfId="0" applyNumberFormat="1" applyFont="1" applyFill="1" applyBorder="1" applyAlignment="1"/>
    <xf numFmtId="176" fontId="3" fillId="0" borderId="43" xfId="119" applyNumberFormat="1" applyBorder="1"/>
    <xf numFmtId="176" fontId="3" fillId="0" borderId="44" xfId="119" applyNumberFormat="1" applyBorder="1"/>
    <xf numFmtId="176" fontId="3" fillId="0" borderId="28" xfId="119" applyNumberFormat="1" applyBorder="1"/>
    <xf numFmtId="0" fontId="4" fillId="0" borderId="0" xfId="0" applyFont="1" applyFill="1" applyAlignment="1">
      <alignment horizontal="center"/>
    </xf>
    <xf numFmtId="0" fontId="14" fillId="0" borderId="0" xfId="131" applyFont="1" applyFill="1"/>
    <xf numFmtId="0" fontId="13" fillId="0" borderId="0" xfId="131" applyFill="1"/>
    <xf numFmtId="0" fontId="0" fillId="0" borderId="0" xfId="0" applyFill="1" applyAlignment="1">
      <alignment horizontal="center"/>
    </xf>
    <xf numFmtId="0" fontId="16" fillId="0" borderId="0" xfId="132" applyFill="1"/>
    <xf numFmtId="0" fontId="16" fillId="0" borderId="0" xfId="132" applyFill="1" applyAlignment="1">
      <alignment horizontal="center" vertical="center" wrapText="1"/>
    </xf>
    <xf numFmtId="0" fontId="11" fillId="0" borderId="45" xfId="0" applyFont="1" applyFill="1" applyBorder="1" applyAlignment="1"/>
    <xf numFmtId="0" fontId="11" fillId="0" borderId="46" xfId="0" applyFont="1" applyFill="1" applyBorder="1" applyAlignment="1"/>
    <xf numFmtId="0" fontId="11" fillId="26" borderId="34" xfId="0" applyFont="1" applyFill="1" applyBorder="1" applyAlignment="1"/>
    <xf numFmtId="0" fontId="11" fillId="26" borderId="47" xfId="0" applyFont="1" applyFill="1" applyBorder="1" applyAlignment="1"/>
    <xf numFmtId="175" fontId="19" fillId="26" borderId="10" xfId="0" applyNumberFormat="1" applyFont="1" applyFill="1" applyBorder="1" applyAlignment="1"/>
    <xf numFmtId="0" fontId="0" fillId="0" borderId="0" xfId="0" applyFont="1"/>
    <xf numFmtId="180" fontId="0" fillId="0" borderId="0" xfId="0" applyNumberFormat="1"/>
    <xf numFmtId="180" fontId="0" fillId="0" borderId="34" xfId="0" applyNumberFormat="1" applyBorder="1"/>
    <xf numFmtId="3" fontId="19" fillId="26" borderId="52" xfId="0" applyNumberFormat="1" applyFont="1" applyFill="1" applyBorder="1" applyAlignment="1">
      <alignment readingOrder="1"/>
    </xf>
    <xf numFmtId="9" fontId="2" fillId="0" borderId="0" xfId="0" applyNumberFormat="1" applyFont="1" applyFill="1"/>
    <xf numFmtId="9" fontId="0" fillId="27" borderId="0" xfId="0" applyNumberFormat="1" applyFill="1" applyAlignment="1">
      <alignment horizontal="center"/>
    </xf>
    <xf numFmtId="1" fontId="11" fillId="26" borderId="34" xfId="52" applyNumberFormat="1" applyFont="1" applyFill="1" applyBorder="1" applyAlignment="1"/>
    <xf numFmtId="3" fontId="19" fillId="0" borderId="10" xfId="0" applyNumberFormat="1" applyFont="1" applyFill="1" applyBorder="1" applyAlignment="1"/>
    <xf numFmtId="3" fontId="0" fillId="0" borderId="28" xfId="0" applyNumberFormat="1" applyFill="1" applyBorder="1"/>
    <xf numFmtId="0" fontId="20" fillId="25" borderId="24" xfId="0" applyFont="1" applyFill="1" applyBorder="1" applyAlignment="1">
      <alignment horizontal="center" vertical="center"/>
    </xf>
    <xf numFmtId="0" fontId="20" fillId="25" borderId="56" xfId="0" applyFont="1" applyFill="1" applyBorder="1" applyAlignment="1">
      <alignment horizontal="center" vertical="center"/>
    </xf>
    <xf numFmtId="0" fontId="20" fillId="25" borderId="57" xfId="0" applyFont="1" applyFill="1" applyBorder="1" applyAlignment="1">
      <alignment horizontal="center" vertical="center" wrapText="1"/>
    </xf>
    <xf numFmtId="0" fontId="20" fillId="25" borderId="58" xfId="0" applyFont="1" applyFill="1" applyBorder="1" applyAlignment="1">
      <alignment horizontal="center" vertical="center" wrapText="1"/>
    </xf>
    <xf numFmtId="0" fontId="20" fillId="25" borderId="59" xfId="0" applyFont="1" applyFill="1" applyBorder="1" applyAlignment="1">
      <alignment horizontal="center" wrapText="1"/>
    </xf>
    <xf numFmtId="0" fontId="20" fillId="25" borderId="60" xfId="0" applyFont="1" applyFill="1" applyBorder="1" applyAlignment="1">
      <alignment horizontal="center" wrapText="1"/>
    </xf>
    <xf numFmtId="0" fontId="20" fillId="25" borderId="61" xfId="0" applyFont="1" applyFill="1" applyBorder="1" applyAlignment="1">
      <alignment horizontal="left" vertical="center" indent="5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/>
    </xf>
    <xf numFmtId="0" fontId="20" fillId="25" borderId="62" xfId="0" applyFont="1" applyFill="1" applyBorder="1" applyAlignment="1">
      <alignment horizontal="center" vertical="center" wrapText="1"/>
    </xf>
    <xf numFmtId="0" fontId="20" fillId="25" borderId="63" xfId="0" applyFont="1" applyFill="1" applyBorder="1" applyAlignment="1">
      <alignment horizontal="center" vertical="center" wrapText="1"/>
    </xf>
    <xf numFmtId="0" fontId="20" fillId="25" borderId="25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0" fillId="25" borderId="64" xfId="0" applyFont="1" applyFill="1" applyBorder="1" applyAlignment="1">
      <alignment horizontal="center" vertical="center" wrapText="1"/>
    </xf>
    <xf numFmtId="0" fontId="20" fillId="25" borderId="65" xfId="0" applyFont="1" applyFill="1" applyBorder="1" applyAlignment="1">
      <alignment horizontal="center" vertical="center" wrapText="1"/>
    </xf>
    <xf numFmtId="0" fontId="20" fillId="25" borderId="66" xfId="0" applyFont="1" applyFill="1" applyBorder="1" applyAlignment="1">
      <alignment horizontal="center" vertical="center" wrapText="1"/>
    </xf>
    <xf numFmtId="0" fontId="20" fillId="25" borderId="67" xfId="0" applyFont="1" applyFill="1" applyBorder="1" applyAlignment="1">
      <alignment horizontal="left" vertical="center" wrapText="1"/>
    </xf>
    <xf numFmtId="0" fontId="20" fillId="25" borderId="68" xfId="0" applyFont="1" applyFill="1" applyBorder="1" applyAlignment="1">
      <alignment horizontal="left" vertical="center" wrapText="1"/>
    </xf>
    <xf numFmtId="9" fontId="19" fillId="26" borderId="52" xfId="0" applyNumberFormat="1" applyFont="1" applyFill="1" applyBorder="1" applyAlignment="1">
      <alignment horizontal="center" vertical="center"/>
    </xf>
    <xf numFmtId="184" fontId="11" fillId="26" borderId="51" xfId="52" applyNumberFormat="1" applyFont="1" applyFill="1" applyBorder="1" applyAlignment="1"/>
    <xf numFmtId="0" fontId="0" fillId="28" borderId="53" xfId="0" applyFill="1" applyBorder="1" applyAlignment="1">
      <alignment horizontal="center"/>
    </xf>
    <xf numFmtId="0" fontId="0" fillId="28" borderId="54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4" fillId="28" borderId="49" xfId="0" applyFont="1" applyFill="1" applyBorder="1" applyAlignment="1">
      <alignment horizontal="center" vertical="center"/>
    </xf>
    <xf numFmtId="0" fontId="4" fillId="28" borderId="50" xfId="0" applyFont="1" applyFill="1" applyBorder="1" applyAlignment="1">
      <alignment horizontal="center" vertical="center"/>
    </xf>
    <xf numFmtId="179" fontId="4" fillId="28" borderId="50" xfId="52" applyNumberFormat="1" applyFont="1" applyFill="1" applyBorder="1" applyAlignment="1">
      <alignment horizontal="center" vertical="center"/>
    </xf>
    <xf numFmtId="0" fontId="19" fillId="26" borderId="28" xfId="0" applyNumberFormat="1" applyFont="1" applyFill="1" applyBorder="1" applyAlignment="1"/>
    <xf numFmtId="0" fontId="19" fillId="26" borderId="28" xfId="0" applyNumberFormat="1" applyFont="1" applyFill="1" applyBorder="1" applyAlignment="1">
      <alignment readingOrder="1"/>
    </xf>
    <xf numFmtId="0" fontId="19" fillId="26" borderId="48" xfId="0" applyNumberFormat="1" applyFont="1" applyFill="1" applyBorder="1" applyAlignment="1"/>
    <xf numFmtId="185" fontId="19" fillId="26" borderId="10" xfId="0" applyNumberFormat="1" applyFont="1" applyFill="1" applyBorder="1" applyAlignment="1"/>
  </cellXfs>
  <cellStyles count="148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 Currency (0)" xfId="26" xr:uid="{00000000-0005-0000-0000-000019000000}"/>
    <cellStyle name="Calc Percent (0)" xfId="27" xr:uid="{00000000-0005-0000-0000-00001A000000}"/>
    <cellStyle name="Calc Percent (1)" xfId="28" xr:uid="{00000000-0005-0000-0000-00001B000000}"/>
    <cellStyle name="Calculation" xfId="29" xr:uid="{00000000-0005-0000-0000-00001C000000}"/>
    <cellStyle name="Check Cell" xfId="30" xr:uid="{00000000-0005-0000-0000-00001D000000}"/>
    <cellStyle name="Comma [0]" xfId="31" xr:uid="{00000000-0005-0000-0000-00001E000000}"/>
    <cellStyle name="Currency [0]" xfId="32" xr:uid="{00000000-0005-0000-0000-00001F000000}"/>
    <cellStyle name="Date" xfId="33" xr:uid="{00000000-0005-0000-0000-000020000000}"/>
    <cellStyle name="Enter Currency (0)" xfId="34" xr:uid="{00000000-0005-0000-0000-000021000000}"/>
    <cellStyle name="Euro" xfId="35" xr:uid="{00000000-0005-0000-0000-000022000000}"/>
    <cellStyle name="Explanatory Text" xfId="36" xr:uid="{00000000-0005-0000-0000-000023000000}"/>
    <cellStyle name="Fecha" xfId="37" xr:uid="{00000000-0005-0000-0000-000024000000}"/>
    <cellStyle name="Good" xfId="38" xr:uid="{00000000-0005-0000-0000-000025000000}"/>
    <cellStyle name="Grey" xfId="39" xr:uid="{00000000-0005-0000-0000-000026000000}"/>
    <cellStyle name="Header1" xfId="40" xr:uid="{00000000-0005-0000-0000-000027000000}"/>
    <cellStyle name="Header2" xfId="41" xr:uid="{00000000-0005-0000-0000-000028000000}"/>
    <cellStyle name="Heading" xfId="42" xr:uid="{00000000-0005-0000-0000-000029000000}"/>
    <cellStyle name="Heading 1" xfId="43" xr:uid="{00000000-0005-0000-0000-00002A000000}"/>
    <cellStyle name="Heading 2" xfId="44" xr:uid="{00000000-0005-0000-0000-00002B000000}"/>
    <cellStyle name="Heading 3" xfId="45" xr:uid="{00000000-0005-0000-0000-00002C000000}"/>
    <cellStyle name="Heading 4" xfId="46" xr:uid="{00000000-0005-0000-0000-00002D000000}"/>
    <cellStyle name="Heading_Excel_Int_Clase_2" xfId="47" xr:uid="{00000000-0005-0000-0000-00002E000000}"/>
    <cellStyle name="Input" xfId="48" xr:uid="{00000000-0005-0000-0000-00002F000000}"/>
    <cellStyle name="Input [yellow]" xfId="49" xr:uid="{00000000-0005-0000-0000-000030000000}"/>
    <cellStyle name="Link Currency (0)" xfId="50" xr:uid="{00000000-0005-0000-0000-000031000000}"/>
    <cellStyle name="Linked Cell" xfId="51" xr:uid="{00000000-0005-0000-0000-000032000000}"/>
    <cellStyle name="Millares" xfId="52" builtinId="3"/>
    <cellStyle name="Millares [0] 2" xfId="53" xr:uid="{00000000-0005-0000-0000-000034000000}"/>
    <cellStyle name="Millares [0] 3" xfId="54" xr:uid="{00000000-0005-0000-0000-000035000000}"/>
    <cellStyle name="Millares [0] 4" xfId="55" xr:uid="{00000000-0005-0000-0000-000036000000}"/>
    <cellStyle name="Millares 10" xfId="56" xr:uid="{00000000-0005-0000-0000-000037000000}"/>
    <cellStyle name="Millares 11" xfId="57" xr:uid="{00000000-0005-0000-0000-000038000000}"/>
    <cellStyle name="Millares 12" xfId="58" xr:uid="{00000000-0005-0000-0000-000039000000}"/>
    <cellStyle name="Millares 13" xfId="59" xr:uid="{00000000-0005-0000-0000-00003A000000}"/>
    <cellStyle name="Millares 13 2" xfId="60" xr:uid="{00000000-0005-0000-0000-00003B000000}"/>
    <cellStyle name="Millares 13_CLASE_2 AVANZADO" xfId="61" xr:uid="{00000000-0005-0000-0000-00003C000000}"/>
    <cellStyle name="Millares 14" xfId="62" xr:uid="{00000000-0005-0000-0000-00003D000000}"/>
    <cellStyle name="Millares 15" xfId="63" xr:uid="{00000000-0005-0000-0000-00003E000000}"/>
    <cellStyle name="Millares 16" xfId="64" xr:uid="{00000000-0005-0000-0000-00003F000000}"/>
    <cellStyle name="Millares 17" xfId="65" xr:uid="{00000000-0005-0000-0000-000040000000}"/>
    <cellStyle name="Millares 18" xfId="66" xr:uid="{00000000-0005-0000-0000-000041000000}"/>
    <cellStyle name="Millares 19" xfId="67" xr:uid="{00000000-0005-0000-0000-000042000000}"/>
    <cellStyle name="Millares 2" xfId="68" xr:uid="{00000000-0005-0000-0000-000043000000}"/>
    <cellStyle name="Millares 2 2" xfId="69" xr:uid="{00000000-0005-0000-0000-000044000000}"/>
    <cellStyle name="Millares 2_CLASE_2 AVANZADO" xfId="70" xr:uid="{00000000-0005-0000-0000-000045000000}"/>
    <cellStyle name="Millares 20" xfId="71" xr:uid="{00000000-0005-0000-0000-000046000000}"/>
    <cellStyle name="Millares 21" xfId="72" xr:uid="{00000000-0005-0000-0000-000047000000}"/>
    <cellStyle name="Millares 22" xfId="73" xr:uid="{00000000-0005-0000-0000-000048000000}"/>
    <cellStyle name="Millares 23" xfId="74" xr:uid="{00000000-0005-0000-0000-000049000000}"/>
    <cellStyle name="Millares 24" xfId="75" xr:uid="{00000000-0005-0000-0000-00004A000000}"/>
    <cellStyle name="Millares 3" xfId="76" xr:uid="{00000000-0005-0000-0000-00004B000000}"/>
    <cellStyle name="Millares 4" xfId="77" xr:uid="{00000000-0005-0000-0000-00004C000000}"/>
    <cellStyle name="Millares 5" xfId="78" xr:uid="{00000000-0005-0000-0000-00004D000000}"/>
    <cellStyle name="Millares 6" xfId="79" xr:uid="{00000000-0005-0000-0000-00004E000000}"/>
    <cellStyle name="Millares 7" xfId="80" xr:uid="{00000000-0005-0000-0000-00004F000000}"/>
    <cellStyle name="Millares 8" xfId="81" xr:uid="{00000000-0005-0000-0000-000050000000}"/>
    <cellStyle name="Millares 9" xfId="82" xr:uid="{00000000-0005-0000-0000-000051000000}"/>
    <cellStyle name="Moneda [0] 2" xfId="83" xr:uid="{00000000-0005-0000-0000-000052000000}"/>
    <cellStyle name="Moneda [0] 2 2" xfId="84" xr:uid="{00000000-0005-0000-0000-000053000000}"/>
    <cellStyle name="Moneda [0] 3" xfId="85" xr:uid="{00000000-0005-0000-0000-000054000000}"/>
    <cellStyle name="Moneda [0] 4" xfId="86" xr:uid="{00000000-0005-0000-0000-000055000000}"/>
    <cellStyle name="Moneda [0] 5" xfId="87" xr:uid="{00000000-0005-0000-0000-000056000000}"/>
    <cellStyle name="Moneda [0] 6" xfId="88" xr:uid="{00000000-0005-0000-0000-000057000000}"/>
    <cellStyle name="Moneda [0] 7" xfId="89" xr:uid="{00000000-0005-0000-0000-000058000000}"/>
    <cellStyle name="Moneda 10" xfId="90" xr:uid="{00000000-0005-0000-0000-000059000000}"/>
    <cellStyle name="Moneda 11" xfId="91" xr:uid="{00000000-0005-0000-0000-00005A000000}"/>
    <cellStyle name="Moneda 12" xfId="92" xr:uid="{00000000-0005-0000-0000-00005B000000}"/>
    <cellStyle name="Moneda 13" xfId="93" xr:uid="{00000000-0005-0000-0000-00005C000000}"/>
    <cellStyle name="Moneda 14" xfId="94" xr:uid="{00000000-0005-0000-0000-00005D000000}"/>
    <cellStyle name="Moneda 15" xfId="95" xr:uid="{00000000-0005-0000-0000-00005E000000}"/>
    <cellStyle name="Moneda 16" xfId="96" xr:uid="{00000000-0005-0000-0000-00005F000000}"/>
    <cellStyle name="Moneda 17" xfId="97" xr:uid="{00000000-0005-0000-0000-000060000000}"/>
    <cellStyle name="Moneda 18" xfId="98" xr:uid="{00000000-0005-0000-0000-000061000000}"/>
    <cellStyle name="Moneda 19" xfId="99" xr:uid="{00000000-0005-0000-0000-000062000000}"/>
    <cellStyle name="Moneda 2" xfId="100" xr:uid="{00000000-0005-0000-0000-000063000000}"/>
    <cellStyle name="Moneda 20" xfId="101" xr:uid="{00000000-0005-0000-0000-000064000000}"/>
    <cellStyle name="Moneda 21" xfId="102" xr:uid="{00000000-0005-0000-0000-000065000000}"/>
    <cellStyle name="Moneda 22" xfId="103" xr:uid="{00000000-0005-0000-0000-000066000000}"/>
    <cellStyle name="Moneda 23" xfId="104" xr:uid="{00000000-0005-0000-0000-000067000000}"/>
    <cellStyle name="Moneda 24" xfId="105" xr:uid="{00000000-0005-0000-0000-000068000000}"/>
    <cellStyle name="Moneda 25" xfId="106" xr:uid="{00000000-0005-0000-0000-000069000000}"/>
    <cellStyle name="Moneda 26" xfId="107" xr:uid="{00000000-0005-0000-0000-00006A000000}"/>
    <cellStyle name="Moneda 27" xfId="108" xr:uid="{00000000-0005-0000-0000-00006B000000}"/>
    <cellStyle name="Moneda 28" xfId="109" xr:uid="{00000000-0005-0000-0000-00006C000000}"/>
    <cellStyle name="Moneda 3" xfId="110" xr:uid="{00000000-0005-0000-0000-00006D000000}"/>
    <cellStyle name="Moneda 4" xfId="111" xr:uid="{00000000-0005-0000-0000-00006E000000}"/>
    <cellStyle name="Moneda 5" xfId="112" xr:uid="{00000000-0005-0000-0000-00006F000000}"/>
    <cellStyle name="Moneda 6" xfId="113" xr:uid="{00000000-0005-0000-0000-000070000000}"/>
    <cellStyle name="Moneda 7" xfId="114" xr:uid="{00000000-0005-0000-0000-000071000000}"/>
    <cellStyle name="Moneda 7 2" xfId="115" xr:uid="{00000000-0005-0000-0000-000072000000}"/>
    <cellStyle name="Moneda 7_clase_4_fonasa" xfId="116" xr:uid="{00000000-0005-0000-0000-000073000000}"/>
    <cellStyle name="Moneda 8" xfId="117" xr:uid="{00000000-0005-0000-0000-000074000000}"/>
    <cellStyle name="Moneda 9" xfId="118" xr:uid="{00000000-0005-0000-0000-000075000000}"/>
    <cellStyle name="Moneda_Prueba Excel Básico" xfId="119" xr:uid="{00000000-0005-0000-0000-000076000000}"/>
    <cellStyle name="Moneda_Refeencias RR y RA Revisar 2" xfId="120" xr:uid="{00000000-0005-0000-0000-000077000000}"/>
    <cellStyle name="Normal" xfId="0" builtinId="0"/>
    <cellStyle name="Normal - Style1" xfId="121" xr:uid="{00000000-0005-0000-0000-000079000000}"/>
    <cellStyle name="Normal 2" xfId="122" xr:uid="{00000000-0005-0000-0000-00007A000000}"/>
    <cellStyle name="Normal 2 2" xfId="123" xr:uid="{00000000-0005-0000-0000-00007B000000}"/>
    <cellStyle name="Normal 2_CLASE5" xfId="124" xr:uid="{00000000-0005-0000-0000-00007C000000}"/>
    <cellStyle name="Normal 3" xfId="125" xr:uid="{00000000-0005-0000-0000-00007D000000}"/>
    <cellStyle name="Normal 3 2" xfId="126" xr:uid="{00000000-0005-0000-0000-00007E000000}"/>
    <cellStyle name="Normal 3_CLASE5" xfId="127" xr:uid="{00000000-0005-0000-0000-00007F000000}"/>
    <cellStyle name="Normal 4" xfId="128" xr:uid="{00000000-0005-0000-0000-000080000000}"/>
    <cellStyle name="Normal 5" xfId="129" xr:uid="{00000000-0005-0000-0000-000081000000}"/>
    <cellStyle name="Normal 6" xfId="130" xr:uid="{00000000-0005-0000-0000-000082000000}"/>
    <cellStyle name="Normal_Refeencias RR y RA Revisar" xfId="131" xr:uid="{00000000-0005-0000-0000-000083000000}"/>
    <cellStyle name="Normal_Refeencias RR y RA Revisar 2" xfId="132" xr:uid="{00000000-0005-0000-0000-000084000000}"/>
    <cellStyle name="Note" xfId="133" xr:uid="{00000000-0005-0000-0000-000085000000}"/>
    <cellStyle name="Output" xfId="134" xr:uid="{00000000-0005-0000-0000-000086000000}"/>
    <cellStyle name="Percent [2]" xfId="135" xr:uid="{00000000-0005-0000-0000-000087000000}"/>
    <cellStyle name="Porcentaje" xfId="136" builtinId="5"/>
    <cellStyle name="Porcentual 2" xfId="137" xr:uid="{00000000-0005-0000-0000-000089000000}"/>
    <cellStyle name="Porcentual 2 2" xfId="138" xr:uid="{00000000-0005-0000-0000-00008A000000}"/>
    <cellStyle name="Porcentual 3" xfId="139" xr:uid="{00000000-0005-0000-0000-00008B000000}"/>
    <cellStyle name="Porcentual 4" xfId="140" xr:uid="{00000000-0005-0000-0000-00008C000000}"/>
    <cellStyle name="Porcentual 5" xfId="141" xr:uid="{00000000-0005-0000-0000-00008D000000}"/>
    <cellStyle name="Porcentual 6" xfId="142" xr:uid="{00000000-0005-0000-0000-00008E000000}"/>
    <cellStyle name="PrePop Currency (0)" xfId="143" xr:uid="{00000000-0005-0000-0000-00008F000000}"/>
    <cellStyle name="Text Indent A" xfId="144" xr:uid="{00000000-0005-0000-0000-000090000000}"/>
    <cellStyle name="Text Indent B" xfId="145" xr:uid="{00000000-0005-0000-0000-000091000000}"/>
    <cellStyle name="Title" xfId="146" xr:uid="{00000000-0005-0000-0000-000092000000}"/>
    <cellStyle name="Warning Text" xfId="147" xr:uid="{00000000-0005-0000-0000-000093000000}"/>
  </cellStyles>
  <dxfs count="6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ont>
        <color theme="0"/>
      </font>
      <fill>
        <patternFill>
          <bgColor rgb="FF7030A0"/>
        </patternFill>
      </fill>
      <border>
        <left style="double">
          <color theme="0"/>
        </left>
        <right style="double">
          <color theme="1"/>
        </right>
        <top style="double">
          <color theme="0"/>
        </top>
        <bottom style="thin">
          <color theme="1"/>
        </bottom>
        <vertical style="double">
          <color theme="0"/>
        </vertical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rgb="FF0070C0"/>
        </patternFill>
      </fill>
      <border>
        <left style="double">
          <color theme="0"/>
        </left>
        <right style="double">
          <color theme="1"/>
        </right>
        <top style="double">
          <color theme="0"/>
        </top>
        <bottom style="thin">
          <color theme="1"/>
        </bottom>
        <vertical style="double">
          <color theme="0"/>
        </vertical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4" defaultTableStyle="Estilo de tabla 1" defaultPivotStyle="PivotStyleLight16">
    <tableStyle name="Edutecno" pivot="0" count="0" xr9:uid="{00000000-0011-0000-FFFF-FFFF00000000}"/>
    <tableStyle name="Edutecno1" pivot="0" count="2" xr9:uid="{00000000-0011-0000-FFFF-FFFF01000000}">
      <tableStyleElement type="wholeTable" dxfId="5"/>
      <tableStyleElement type="firstRowStripe" dxfId="4"/>
    </tableStyle>
    <tableStyle name="Estilo de tabla 1" pivot="0" count="2" xr9:uid="{00000000-0011-0000-FFFF-FFFF02000000}">
      <tableStyleElement type="wholeTable" dxfId="3"/>
      <tableStyleElement type="headerRow" dxfId="2"/>
    </tableStyle>
    <tableStyle name="MySqlDefault" pivot="0" table="0" count="2" xr9:uid="{00000000-0011-0000-FFFF-FFFF03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elprog\Mis%20documentos\Documentos\Docu%20Excel\Basico\ej%20bas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 9"/>
      <sheetName val="carrera (2)"/>
      <sheetName val="combinar (2)"/>
      <sheetName val="tabla 1 (2)"/>
      <sheetName val="tabla 2 (2)"/>
      <sheetName val="Error (2)"/>
      <sheetName val="Error 2 (2)"/>
      <sheetName val="Simple (2)"/>
      <sheetName val="Condicional (2)"/>
      <sheetName val="Básico (2)"/>
      <sheetName val="Ej 1"/>
      <sheetName val="alineación (2)"/>
      <sheetName val="tabla (3)"/>
      <sheetName val="Ej 4 (2)"/>
      <sheetName val="Ej 5 (2)"/>
      <sheetName val="Ej 8 (2)"/>
      <sheetName val="Ej 13 (2)"/>
      <sheetName val="Autorreleno"/>
      <sheetName val="Ej 15"/>
      <sheetName val="Ej 13"/>
      <sheetName val="tabla (2)"/>
      <sheetName val="alineación"/>
      <sheetName val="carrera"/>
      <sheetName val="combinar"/>
      <sheetName val="tabla 1"/>
      <sheetName val="tabla 2"/>
      <sheetName val="Error"/>
      <sheetName val="Error 2"/>
      <sheetName val="Simple"/>
      <sheetName val="Condicional"/>
      <sheetName val="Básico"/>
      <sheetName val="Ej 2"/>
      <sheetName val="formato"/>
      <sheetName val="Ej 6"/>
      <sheetName val="Ej 5"/>
      <sheetName val="Ej 4"/>
      <sheetName val="Ej 3"/>
      <sheetName val="Ej 11"/>
      <sheetName val="Ej 8"/>
      <sheetName val="EJERCICIO 10"/>
      <sheetName val="Eje 14"/>
      <sheetName val="Hoja1 (10)"/>
      <sheetName val="Hoja3 (5)"/>
      <sheetName val="Hoja4"/>
      <sheetName val="Hoja1 (11)"/>
      <sheetName val="tabla dinamica"/>
      <sheetName val="Hoja2 (6)"/>
      <sheetName val="tabla"/>
      <sheetName val="total"/>
      <sheetName val="Bas_absol2"/>
      <sheetName val="funfiones1"/>
      <sheetName val="SUM_PROM_MIN_MAX"/>
      <sheetName val="Hoja1 (8)"/>
      <sheetName val="alameda"/>
      <sheetName val="Hoja1 (9)"/>
      <sheetName val="Hoja2 (4)"/>
      <sheetName val="Hoja3 (3)"/>
      <sheetName val="Comisiones"/>
      <sheetName val="Ganancia"/>
      <sheetName val="Presupuesto"/>
      <sheetName val="subtotal1"/>
      <sheetName val="Subtotal2"/>
      <sheetName val="Hoja1 (7)"/>
      <sheetName val="Hoja1 (6)"/>
      <sheetName val="Hoja1 (5)"/>
      <sheetName val="Hoja2 (3)"/>
      <sheetName val="Hoja3 (2)"/>
      <sheetName val="Hoja1 (4)"/>
      <sheetName val="Hoja2 (2)"/>
      <sheetName val="Hoja3 (4)"/>
      <sheetName val="Hoja1 (3)"/>
      <sheetName val="Hoja1 (2)"/>
      <sheetName val="Gráfico4"/>
      <sheetName val="autos"/>
      <sheetName val="Gráfico2"/>
      <sheetName val="Hoja1"/>
      <sheetName val="Hoja2 (5)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NOMBRE</v>
          </cell>
          <cell r="B1" t="str">
            <v>APELLIDO</v>
          </cell>
          <cell r="C1" t="str">
            <v>SUELDO</v>
          </cell>
          <cell r="D1" t="str">
            <v>RENDIMIENTO</v>
          </cell>
        </row>
        <row r="2">
          <cell r="A2" t="str">
            <v>MARIA</v>
          </cell>
          <cell r="B2" t="str">
            <v>SOTO</v>
          </cell>
          <cell r="C2">
            <v>80</v>
          </cell>
          <cell r="D2">
            <v>0.7</v>
          </cell>
        </row>
        <row r="3">
          <cell r="A3" t="str">
            <v>PEDRO</v>
          </cell>
          <cell r="B3" t="str">
            <v>GONZALEZ</v>
          </cell>
          <cell r="C3">
            <v>100</v>
          </cell>
          <cell r="D3">
            <v>0.5</v>
          </cell>
        </row>
        <row r="4">
          <cell r="A4" t="str">
            <v>JUAN</v>
          </cell>
          <cell r="B4" t="str">
            <v>PEREZ</v>
          </cell>
          <cell r="C4">
            <v>70</v>
          </cell>
          <cell r="D4">
            <v>0.8</v>
          </cell>
        </row>
        <row r="5">
          <cell r="A5" t="str">
            <v>DIEGO</v>
          </cell>
          <cell r="B5" t="str">
            <v>TAPIA</v>
          </cell>
          <cell r="C5">
            <v>80</v>
          </cell>
          <cell r="D5">
            <v>0.7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H17"/>
  <sheetViews>
    <sheetView zoomScale="142" zoomScaleNormal="142" workbookViewId="0">
      <selection activeCell="E11" sqref="E11"/>
    </sheetView>
  </sheetViews>
  <sheetFormatPr baseColWidth="10" defaultRowHeight="13.2"/>
  <cols>
    <col min="3" max="3" width="11.5546875" customWidth="1"/>
    <col min="4" max="4" width="12.5546875" customWidth="1"/>
  </cols>
  <sheetData>
    <row r="1" spans="1:8" ht="13.8" thickBot="1">
      <c r="A1" s="107" t="s">
        <v>5</v>
      </c>
      <c r="B1" s="108"/>
      <c r="C1" s="108"/>
      <c r="D1" s="109"/>
      <c r="F1" s="14"/>
      <c r="G1" s="14"/>
      <c r="H1" s="14"/>
    </row>
    <row r="2" spans="1:8" ht="13.8" thickTop="1">
      <c r="A2" s="110" t="s">
        <v>6</v>
      </c>
      <c r="B2" s="111" t="s">
        <v>7</v>
      </c>
      <c r="C2" s="112" t="s">
        <v>8</v>
      </c>
      <c r="D2" s="112" t="s">
        <v>9</v>
      </c>
      <c r="F2" s="14"/>
      <c r="G2" s="14"/>
      <c r="H2" s="14"/>
    </row>
    <row r="3" spans="1:8">
      <c r="A3" s="69" t="s">
        <v>10</v>
      </c>
      <c r="B3" s="71">
        <v>8</v>
      </c>
      <c r="C3" s="80">
        <v>3800</v>
      </c>
      <c r="D3" s="106">
        <f>B3*C3</f>
        <v>30400</v>
      </c>
      <c r="F3" s="14"/>
      <c r="G3" s="14"/>
      <c r="H3" s="14"/>
    </row>
    <row r="4" spans="1:8">
      <c r="A4" s="69" t="s">
        <v>11</v>
      </c>
      <c r="B4" s="71">
        <v>16</v>
      </c>
      <c r="C4" s="80">
        <v>2500</v>
      </c>
      <c r="D4" s="106">
        <f t="shared" ref="D4:D12" si="0">B4*C4</f>
        <v>40000</v>
      </c>
      <c r="F4" s="14"/>
      <c r="G4" s="14"/>
      <c r="H4" s="14"/>
    </row>
    <row r="5" spans="1:8">
      <c r="A5" s="69" t="s">
        <v>12</v>
      </c>
      <c r="B5" s="71">
        <v>7</v>
      </c>
      <c r="C5" s="80">
        <v>2000</v>
      </c>
      <c r="D5" s="106">
        <f t="shared" si="0"/>
        <v>14000</v>
      </c>
    </row>
    <row r="6" spans="1:8">
      <c r="A6" s="69" t="s">
        <v>13</v>
      </c>
      <c r="B6" s="71">
        <v>2</v>
      </c>
      <c r="C6" s="80">
        <v>45000</v>
      </c>
      <c r="D6" s="106">
        <f t="shared" si="0"/>
        <v>90000</v>
      </c>
    </row>
    <row r="7" spans="1:8">
      <c r="A7" s="69" t="s">
        <v>14</v>
      </c>
      <c r="B7" s="71">
        <v>4</v>
      </c>
      <c r="C7" s="80">
        <v>60000</v>
      </c>
      <c r="D7" s="106">
        <f t="shared" si="0"/>
        <v>240000</v>
      </c>
    </row>
    <row r="8" spans="1:8">
      <c r="A8" s="69" t="s">
        <v>15</v>
      </c>
      <c r="B8" s="71">
        <v>1</v>
      </c>
      <c r="C8" s="80">
        <v>10000</v>
      </c>
      <c r="D8" s="106">
        <f t="shared" si="0"/>
        <v>10000</v>
      </c>
    </row>
    <row r="9" spans="1:8">
      <c r="A9" s="69" t="s">
        <v>16</v>
      </c>
      <c r="B9" s="71">
        <v>2</v>
      </c>
      <c r="C9" s="80">
        <v>5000</v>
      </c>
      <c r="D9" s="106">
        <f t="shared" si="0"/>
        <v>10000</v>
      </c>
    </row>
    <row r="10" spans="1:8">
      <c r="A10" s="69" t="s">
        <v>17</v>
      </c>
      <c r="B10" s="71">
        <v>1</v>
      </c>
      <c r="C10" s="80">
        <v>50000</v>
      </c>
      <c r="D10" s="106">
        <f t="shared" si="0"/>
        <v>50000</v>
      </c>
    </row>
    <row r="11" spans="1:8">
      <c r="A11" s="69" t="s">
        <v>18</v>
      </c>
      <c r="B11" s="71">
        <v>5</v>
      </c>
      <c r="C11" s="80">
        <v>1500</v>
      </c>
      <c r="D11" s="106">
        <f t="shared" si="0"/>
        <v>7500</v>
      </c>
      <c r="F11" t="s">
        <v>4</v>
      </c>
    </row>
    <row r="12" spans="1:8">
      <c r="A12" s="70" t="s">
        <v>19</v>
      </c>
      <c r="B12" s="72">
        <v>2</v>
      </c>
      <c r="C12" s="80">
        <v>4000</v>
      </c>
      <c r="D12" s="106">
        <f t="shared" si="0"/>
        <v>8000</v>
      </c>
    </row>
    <row r="15" spans="1:8">
      <c r="A15" t="s">
        <v>20</v>
      </c>
    </row>
    <row r="16" spans="1:8">
      <c r="A16" t="s">
        <v>21</v>
      </c>
    </row>
    <row r="17" spans="1:1">
      <c r="A17" t="s">
        <v>22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D1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B1:J54"/>
  <sheetViews>
    <sheetView zoomScale="136" zoomScaleNormal="136" workbookViewId="0">
      <selection activeCell="G12" sqref="G12"/>
    </sheetView>
  </sheetViews>
  <sheetFormatPr baseColWidth="10" defaultRowHeight="13.2"/>
  <cols>
    <col min="1" max="1" width="5" customWidth="1"/>
    <col min="2" max="2" width="19.5546875" customWidth="1"/>
    <col min="3" max="3" width="8" customWidth="1"/>
    <col min="4" max="4" width="6.33203125" customWidth="1"/>
    <col min="5" max="5" width="6" customWidth="1"/>
    <col min="6" max="6" width="10.33203125" bestFit="1" customWidth="1"/>
    <col min="7" max="7" width="12.109375" customWidth="1"/>
  </cols>
  <sheetData>
    <row r="1" spans="2:10" ht="13.8" thickBot="1">
      <c r="H1" s="14"/>
      <c r="I1" s="14"/>
      <c r="J1" s="14"/>
    </row>
    <row r="2" spans="2:10" ht="13.8" thickTop="1">
      <c r="B2" s="15" t="s">
        <v>23</v>
      </c>
      <c r="C2" s="16" t="s">
        <v>24</v>
      </c>
      <c r="D2" s="16" t="s">
        <v>25</v>
      </c>
      <c r="E2" s="16" t="s">
        <v>26</v>
      </c>
      <c r="F2" s="16" t="s">
        <v>27</v>
      </c>
      <c r="G2" s="17" t="s">
        <v>28</v>
      </c>
      <c r="H2" s="14"/>
      <c r="I2" s="14"/>
      <c r="J2" s="14"/>
    </row>
    <row r="3" spans="2:10">
      <c r="B3" s="18" t="s">
        <v>29</v>
      </c>
      <c r="C3" s="19">
        <v>4</v>
      </c>
      <c r="D3" s="20">
        <v>3</v>
      </c>
      <c r="E3" s="20">
        <v>6</v>
      </c>
      <c r="F3" s="19">
        <v>5</v>
      </c>
      <c r="G3" s="77">
        <f>C3*20%+D3*20%+E3*20%+F3*40%</f>
        <v>4.6000000000000005</v>
      </c>
      <c r="H3" s="78"/>
      <c r="I3" s="14"/>
      <c r="J3" s="14"/>
    </row>
    <row r="4" spans="2:10">
      <c r="B4" s="18" t="s">
        <v>30</v>
      </c>
      <c r="C4" s="19">
        <v>3</v>
      </c>
      <c r="D4" s="20">
        <v>3.5</v>
      </c>
      <c r="E4" s="20">
        <v>5</v>
      </c>
      <c r="F4" s="19">
        <v>4</v>
      </c>
      <c r="G4" s="77">
        <f t="shared" ref="G4:G8" si="0">C4*20%+D4*20%+E4*20%+F4*40%</f>
        <v>3.9000000000000004</v>
      </c>
      <c r="H4" s="78"/>
      <c r="I4" s="63"/>
      <c r="J4" s="14"/>
    </row>
    <row r="5" spans="2:10">
      <c r="B5" s="18" t="s">
        <v>31</v>
      </c>
      <c r="C5" s="19">
        <v>3.2</v>
      </c>
      <c r="D5" s="20">
        <v>5</v>
      </c>
      <c r="E5" s="20">
        <v>4</v>
      </c>
      <c r="F5" s="19">
        <v>4</v>
      </c>
      <c r="G5" s="77">
        <f t="shared" si="0"/>
        <v>4.0400000000000009</v>
      </c>
      <c r="H5" s="78"/>
    </row>
    <row r="6" spans="2:10">
      <c r="B6" s="18" t="s">
        <v>32</v>
      </c>
      <c r="C6" s="19">
        <v>2</v>
      </c>
      <c r="D6" s="20">
        <v>5.5</v>
      </c>
      <c r="E6" s="20">
        <v>4</v>
      </c>
      <c r="F6" s="19">
        <v>6.5</v>
      </c>
      <c r="G6" s="77">
        <f t="shared" si="0"/>
        <v>4.9000000000000004</v>
      </c>
      <c r="H6" s="78"/>
    </row>
    <row r="7" spans="2:10">
      <c r="B7" s="18" t="s">
        <v>33</v>
      </c>
      <c r="C7" s="19">
        <v>6</v>
      </c>
      <c r="D7" s="20">
        <v>5</v>
      </c>
      <c r="E7" s="20">
        <v>3</v>
      </c>
      <c r="F7" s="19">
        <v>3</v>
      </c>
      <c r="G7" s="77">
        <f t="shared" si="0"/>
        <v>4</v>
      </c>
      <c r="H7" s="78"/>
    </row>
    <row r="8" spans="2:10" ht="13.8" thickBot="1">
      <c r="B8" s="21" t="s">
        <v>34</v>
      </c>
      <c r="C8" s="22">
        <v>5</v>
      </c>
      <c r="D8" s="23">
        <v>4</v>
      </c>
      <c r="E8" s="23">
        <v>5</v>
      </c>
      <c r="F8" s="22">
        <v>3</v>
      </c>
      <c r="G8" s="77">
        <f>C8*20%+D8*20%+E8*20%+F8*40%</f>
        <v>4</v>
      </c>
      <c r="H8" s="78"/>
    </row>
    <row r="9" spans="2:10" ht="13.8" thickTop="1"/>
    <row r="10" spans="2:10">
      <c r="B10" s="1" t="s">
        <v>35</v>
      </c>
    </row>
    <row r="54" spans="5:5">
      <c r="E54">
        <v>0</v>
      </c>
    </row>
  </sheetData>
  <phoneticPr fontId="0" type="noConversion"/>
  <pageMargins left="0.75" right="0.75" top="1" bottom="1" header="0" footer="0"/>
  <pageSetup scale="9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8">
    <pageSetUpPr fitToPage="1"/>
  </sheetPr>
  <dimension ref="A1:H22"/>
  <sheetViews>
    <sheetView workbookViewId="0">
      <selection activeCell="F10" sqref="F10"/>
    </sheetView>
  </sheetViews>
  <sheetFormatPr baseColWidth="10" defaultRowHeight="13.2"/>
  <cols>
    <col min="1" max="1" width="12.88671875" bestFit="1" customWidth="1"/>
    <col min="2" max="2" width="13" bestFit="1" customWidth="1"/>
    <col min="3" max="3" width="11.109375" bestFit="1" customWidth="1"/>
    <col min="4" max="4" width="14" bestFit="1" customWidth="1"/>
    <col min="5" max="5" width="19.6640625" bestFit="1" customWidth="1"/>
  </cols>
  <sheetData>
    <row r="1" spans="1:8" ht="13.8" thickTop="1">
      <c r="A1" s="83" t="s">
        <v>37</v>
      </c>
      <c r="B1" s="26" t="s">
        <v>38</v>
      </c>
      <c r="C1" s="24" t="s">
        <v>39</v>
      </c>
      <c r="D1" s="87" t="s">
        <v>40</v>
      </c>
      <c r="E1" s="85" t="s">
        <v>41</v>
      </c>
      <c r="F1" s="14"/>
      <c r="G1" s="14"/>
      <c r="H1" s="14"/>
    </row>
    <row r="2" spans="1:8">
      <c r="A2" s="84" t="s">
        <v>42</v>
      </c>
      <c r="B2" s="27"/>
      <c r="C2" s="25"/>
      <c r="D2" s="88"/>
      <c r="E2" s="86"/>
      <c r="F2" s="14"/>
      <c r="G2" s="14"/>
      <c r="H2" s="14"/>
    </row>
    <row r="3" spans="1:8">
      <c r="A3" s="29" t="s">
        <v>42</v>
      </c>
      <c r="B3" s="31">
        <v>100000</v>
      </c>
      <c r="C3" s="31">
        <v>50000</v>
      </c>
      <c r="D3" s="32">
        <f>B3-C3</f>
        <v>50000</v>
      </c>
      <c r="E3" s="105">
        <f>C3/B3</f>
        <v>0.5</v>
      </c>
      <c r="F3" s="14"/>
      <c r="G3" s="14"/>
      <c r="H3" s="14"/>
    </row>
    <row r="4" spans="1:8">
      <c r="A4" s="29" t="s">
        <v>43</v>
      </c>
      <c r="B4" s="31">
        <v>200000</v>
      </c>
      <c r="C4" s="31">
        <v>80000</v>
      </c>
      <c r="D4" s="32">
        <f t="shared" ref="D4:D14" si="0">B4-C4</f>
        <v>120000</v>
      </c>
      <c r="E4" s="105">
        <f t="shared" ref="E4:E14" si="1">C4/B4</f>
        <v>0.4</v>
      </c>
      <c r="F4" s="14"/>
      <c r="G4" s="14"/>
      <c r="H4" s="14"/>
    </row>
    <row r="5" spans="1:8">
      <c r="A5" s="29" t="s">
        <v>44</v>
      </c>
      <c r="B5" s="32">
        <v>250000</v>
      </c>
      <c r="C5" s="32">
        <v>30000</v>
      </c>
      <c r="D5" s="32">
        <f t="shared" si="0"/>
        <v>220000</v>
      </c>
      <c r="E5" s="105">
        <f t="shared" si="1"/>
        <v>0.12</v>
      </c>
      <c r="F5" s="14"/>
      <c r="G5" s="14"/>
      <c r="H5" s="14"/>
    </row>
    <row r="6" spans="1:8">
      <c r="A6" s="29" t="s">
        <v>45</v>
      </c>
      <c r="B6" s="32">
        <v>300000</v>
      </c>
      <c r="C6" s="32">
        <v>200000</v>
      </c>
      <c r="D6" s="32">
        <f t="shared" si="0"/>
        <v>100000</v>
      </c>
      <c r="E6" s="105">
        <f t="shared" si="1"/>
        <v>0.66666666666666663</v>
      </c>
    </row>
    <row r="7" spans="1:8">
      <c r="A7" s="29" t="s">
        <v>46</v>
      </c>
      <c r="B7" s="32">
        <v>200000</v>
      </c>
      <c r="C7" s="32">
        <v>80000</v>
      </c>
      <c r="D7" s="32">
        <f t="shared" si="0"/>
        <v>120000</v>
      </c>
      <c r="E7" s="105">
        <f t="shared" si="1"/>
        <v>0.4</v>
      </c>
    </row>
    <row r="8" spans="1:8">
      <c r="A8" s="29" t="s">
        <v>47</v>
      </c>
      <c r="B8" s="32">
        <v>100000</v>
      </c>
      <c r="C8" s="32">
        <v>20000</v>
      </c>
      <c r="D8" s="32">
        <f t="shared" si="0"/>
        <v>80000</v>
      </c>
      <c r="E8" s="105">
        <f t="shared" si="1"/>
        <v>0.2</v>
      </c>
    </row>
    <row r="9" spans="1:8">
      <c r="A9" s="29" t="s">
        <v>48</v>
      </c>
      <c r="B9" s="32">
        <v>50000</v>
      </c>
      <c r="C9" s="32">
        <v>50000</v>
      </c>
      <c r="D9" s="32">
        <f t="shared" si="0"/>
        <v>0</v>
      </c>
      <c r="E9" s="105">
        <f t="shared" si="1"/>
        <v>1</v>
      </c>
    </row>
    <row r="10" spans="1:8">
      <c r="A10" s="29" t="s">
        <v>49</v>
      </c>
      <c r="B10" s="32">
        <v>200000</v>
      </c>
      <c r="C10" s="32">
        <v>40000</v>
      </c>
      <c r="D10" s="32">
        <f t="shared" si="0"/>
        <v>160000</v>
      </c>
      <c r="E10" s="105">
        <f t="shared" si="1"/>
        <v>0.2</v>
      </c>
    </row>
    <row r="11" spans="1:8">
      <c r="A11" s="29" t="s">
        <v>50</v>
      </c>
      <c r="B11" s="32">
        <v>400000</v>
      </c>
      <c r="C11" s="32">
        <v>300000</v>
      </c>
      <c r="D11" s="32">
        <f t="shared" si="0"/>
        <v>100000</v>
      </c>
      <c r="E11" s="105">
        <f t="shared" si="1"/>
        <v>0.75</v>
      </c>
    </row>
    <row r="12" spans="1:8">
      <c r="A12" s="29" t="s">
        <v>51</v>
      </c>
      <c r="B12" s="32">
        <v>500000</v>
      </c>
      <c r="C12" s="32">
        <v>200000</v>
      </c>
      <c r="D12" s="32">
        <f t="shared" si="0"/>
        <v>300000</v>
      </c>
      <c r="E12" s="105">
        <f t="shared" si="1"/>
        <v>0.4</v>
      </c>
    </row>
    <row r="13" spans="1:8">
      <c r="A13" s="29" t="s">
        <v>52</v>
      </c>
      <c r="B13" s="32">
        <v>900000</v>
      </c>
      <c r="C13" s="32">
        <v>450000</v>
      </c>
      <c r="D13" s="32">
        <f t="shared" si="0"/>
        <v>450000</v>
      </c>
      <c r="E13" s="105">
        <f t="shared" si="1"/>
        <v>0.5</v>
      </c>
    </row>
    <row r="14" spans="1:8" ht="13.8" thickBot="1">
      <c r="A14" s="30" t="s">
        <v>53</v>
      </c>
      <c r="B14" s="33">
        <v>2500000</v>
      </c>
      <c r="C14" s="33">
        <v>50000</v>
      </c>
      <c r="D14" s="32">
        <f t="shared" si="0"/>
        <v>2450000</v>
      </c>
      <c r="E14" s="105">
        <f t="shared" si="1"/>
        <v>0.02</v>
      </c>
    </row>
    <row r="15" spans="1:8" ht="13.8" thickTop="1"/>
    <row r="16" spans="1:8" ht="13.8">
      <c r="A16" t="s">
        <v>54</v>
      </c>
    </row>
    <row r="17" spans="1:2" ht="13.8">
      <c r="A17" t="s">
        <v>55</v>
      </c>
    </row>
    <row r="19" spans="1:2" ht="13.8" thickBot="1">
      <c r="B19" s="3" t="s">
        <v>56</v>
      </c>
    </row>
    <row r="20" spans="1:2">
      <c r="B20" s="2" t="s">
        <v>57</v>
      </c>
    </row>
    <row r="22" spans="1:2">
      <c r="A22" t="s">
        <v>58</v>
      </c>
    </row>
  </sheetData>
  <mergeCells count="3">
    <mergeCell ref="A1:A2"/>
    <mergeCell ref="E1:E2"/>
    <mergeCell ref="D1:D2"/>
  </mergeCells>
  <phoneticPr fontId="0" type="noConversion"/>
  <pageMargins left="0.75" right="0.75" top="1" bottom="1" header="0" footer="0"/>
  <pageSetup scale="96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9">
    <pageSetUpPr fitToPage="1"/>
  </sheetPr>
  <dimension ref="A1:H11"/>
  <sheetViews>
    <sheetView zoomScale="85" zoomScaleNormal="85" workbookViewId="0">
      <selection activeCell="A11" sqref="A11"/>
    </sheetView>
  </sheetViews>
  <sheetFormatPr baseColWidth="10" defaultColWidth="11.44140625" defaultRowHeight="11.4"/>
  <cols>
    <col min="1" max="1" width="21.6640625" style="6" customWidth="1"/>
    <col min="2" max="6" width="16.44140625" style="6" customWidth="1"/>
    <col min="7" max="16384" width="11.44140625" style="6"/>
  </cols>
  <sheetData>
    <row r="1" spans="1:8" s="4" customFormat="1" ht="17.399999999999999">
      <c r="A1" s="89" t="s">
        <v>7</v>
      </c>
      <c r="B1" s="24" t="s">
        <v>59</v>
      </c>
      <c r="C1" s="24" t="s">
        <v>60</v>
      </c>
      <c r="D1" s="90" t="s">
        <v>36</v>
      </c>
      <c r="E1" s="90" t="s">
        <v>183</v>
      </c>
      <c r="F1" s="91" t="s">
        <v>36</v>
      </c>
      <c r="G1" s="64"/>
      <c r="H1" s="64"/>
    </row>
    <row r="2" spans="1:8" ht="13.2">
      <c r="A2" s="89">
        <v>2</v>
      </c>
      <c r="B2" s="25"/>
      <c r="C2" s="25"/>
      <c r="D2" s="90"/>
      <c r="E2" s="90"/>
      <c r="F2" s="91"/>
      <c r="G2" s="65"/>
      <c r="H2" s="65"/>
    </row>
    <row r="3" spans="1:8" ht="13.2">
      <c r="A3" s="36">
        <v>5</v>
      </c>
      <c r="B3" s="31" t="s">
        <v>61</v>
      </c>
      <c r="C3" s="32">
        <v>6500</v>
      </c>
      <c r="D3" s="35">
        <f>A3*C3</f>
        <v>32500</v>
      </c>
      <c r="E3" s="32">
        <f>D3*B11</f>
        <v>6175</v>
      </c>
      <c r="F3" s="35">
        <f>D3+E3</f>
        <v>38675</v>
      </c>
      <c r="G3" s="65"/>
      <c r="H3" s="65"/>
    </row>
    <row r="4" spans="1:8" ht="13.2">
      <c r="A4" s="36">
        <v>7</v>
      </c>
      <c r="B4" s="32" t="s">
        <v>62</v>
      </c>
      <c r="C4" s="32">
        <v>7500</v>
      </c>
      <c r="D4" s="35">
        <f t="shared" ref="D4:D8" si="0">A4*C4</f>
        <v>52500</v>
      </c>
      <c r="E4" s="32">
        <f>D4*B11</f>
        <v>9975</v>
      </c>
      <c r="F4" s="35">
        <f t="shared" ref="F4:F8" si="1">D4+E4</f>
        <v>62475</v>
      </c>
    </row>
    <row r="5" spans="1:8" ht="13.2">
      <c r="A5" s="36">
        <v>8</v>
      </c>
      <c r="B5" s="32" t="s">
        <v>63</v>
      </c>
      <c r="C5" s="32">
        <v>250</v>
      </c>
      <c r="D5" s="35">
        <f t="shared" si="0"/>
        <v>2000</v>
      </c>
      <c r="E5" s="32">
        <f>D5*B11</f>
        <v>380</v>
      </c>
      <c r="F5" s="35">
        <f t="shared" si="1"/>
        <v>2380</v>
      </c>
    </row>
    <row r="6" spans="1:8" ht="13.2">
      <c r="A6" s="36">
        <v>4</v>
      </c>
      <c r="B6" s="32" t="s">
        <v>64</v>
      </c>
      <c r="C6" s="32">
        <v>2598</v>
      </c>
      <c r="D6" s="35">
        <f t="shared" si="0"/>
        <v>10392</v>
      </c>
      <c r="E6" s="32">
        <f>D6*B11</f>
        <v>1974.48</v>
      </c>
      <c r="F6" s="35">
        <f t="shared" si="1"/>
        <v>12366.48</v>
      </c>
    </row>
    <row r="7" spans="1:8" ht="13.2">
      <c r="A7" s="36">
        <v>6</v>
      </c>
      <c r="B7" s="32" t="s">
        <v>65</v>
      </c>
      <c r="C7" s="32">
        <v>12500</v>
      </c>
      <c r="D7" s="35">
        <f t="shared" si="0"/>
        <v>75000</v>
      </c>
      <c r="E7" s="32">
        <f>D7*B11</f>
        <v>14250</v>
      </c>
      <c r="F7" s="35">
        <f t="shared" si="1"/>
        <v>89250</v>
      </c>
    </row>
    <row r="8" spans="1:8" ht="13.2">
      <c r="A8" s="36">
        <v>5</v>
      </c>
      <c r="B8" s="32" t="s">
        <v>66</v>
      </c>
      <c r="C8" s="32">
        <v>10000</v>
      </c>
      <c r="D8" s="35">
        <f t="shared" si="0"/>
        <v>50000</v>
      </c>
      <c r="E8" s="32">
        <f>D8*B11</f>
        <v>9500</v>
      </c>
      <c r="F8" s="35">
        <f t="shared" si="1"/>
        <v>59500</v>
      </c>
    </row>
    <row r="9" spans="1:8" ht="13.8">
      <c r="E9" s="5" t="s">
        <v>67</v>
      </c>
      <c r="F9" s="35">
        <f>SUM(F3:F8)</f>
        <v>264646.48</v>
      </c>
    </row>
    <row r="10" spans="1:8" ht="12" thickBot="1"/>
    <row r="11" spans="1:8" ht="13.8" thickTop="1">
      <c r="A11" s="28" t="str">
        <f>+E1</f>
        <v>IGV</v>
      </c>
      <c r="B11" s="34">
        <v>0.19</v>
      </c>
    </row>
  </sheetData>
  <mergeCells count="4">
    <mergeCell ref="A1:A2"/>
    <mergeCell ref="D1:D2"/>
    <mergeCell ref="E1:E2"/>
    <mergeCell ref="F1:F2"/>
  </mergeCells>
  <phoneticPr fontId="0" type="noConversion"/>
  <pageMargins left="0.75" right="0.75" top="1" bottom="1" header="0" footer="0"/>
  <pageSetup scale="91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2">
    <pageSetUpPr fitToPage="1"/>
  </sheetPr>
  <dimension ref="A1:L16"/>
  <sheetViews>
    <sheetView zoomScale="130" zoomScaleNormal="130" workbookViewId="0">
      <selection activeCell="E12" sqref="E12"/>
    </sheetView>
  </sheetViews>
  <sheetFormatPr baseColWidth="10" defaultRowHeight="13.2"/>
  <cols>
    <col min="2" max="2" width="10.88671875" bestFit="1" customWidth="1"/>
    <col min="4" max="4" width="12" bestFit="1" customWidth="1"/>
    <col min="5" max="5" width="12.33203125" bestFit="1" customWidth="1"/>
    <col min="6" max="6" width="12.6640625" style="2" customWidth="1"/>
    <col min="7" max="7" width="13.5546875" bestFit="1" customWidth="1"/>
    <col min="8" max="8" width="13.5546875" style="2" bestFit="1" customWidth="1"/>
    <col min="9" max="9" width="9.109375" style="2" bestFit="1" customWidth="1"/>
    <col min="12" max="12" width="36.33203125" customWidth="1"/>
    <col min="14" max="14" width="3.5546875" customWidth="1"/>
  </cols>
  <sheetData>
    <row r="1" spans="1:12">
      <c r="F1" s="66"/>
      <c r="G1" s="14"/>
    </row>
    <row r="2" spans="1:12" ht="16.5" customHeight="1">
      <c r="F2" s="66"/>
      <c r="G2" s="14"/>
    </row>
    <row r="3" spans="1:12" ht="13.8" thickBot="1">
      <c r="F3" s="66"/>
      <c r="G3" s="14"/>
    </row>
    <row r="4" spans="1:12" ht="39.75" customHeight="1" thickTop="1" thickBot="1">
      <c r="A4" s="94" t="s">
        <v>79</v>
      </c>
      <c r="B4" s="94"/>
      <c r="C4" s="94"/>
      <c r="D4" s="94"/>
      <c r="E4" s="94"/>
      <c r="F4" s="94"/>
      <c r="G4" s="38" t="s">
        <v>78</v>
      </c>
      <c r="I4"/>
    </row>
    <row r="5" spans="1:12" ht="27.6" thickTop="1" thickBot="1">
      <c r="A5" s="46" t="s">
        <v>77</v>
      </c>
      <c r="B5" s="39" t="s">
        <v>76</v>
      </c>
      <c r="C5" s="39" t="s">
        <v>75</v>
      </c>
      <c r="D5" s="39" t="s">
        <v>69</v>
      </c>
      <c r="E5" s="39" t="s">
        <v>68</v>
      </c>
      <c r="F5" s="39" t="s">
        <v>74</v>
      </c>
      <c r="G5" s="48" t="s">
        <v>73</v>
      </c>
      <c r="I5"/>
    </row>
    <row r="6" spans="1:12" ht="13.8" thickBot="1">
      <c r="A6" s="40">
        <v>1</v>
      </c>
      <c r="B6" s="41">
        <v>21388</v>
      </c>
      <c r="C6" s="42">
        <v>120</v>
      </c>
      <c r="D6" s="113">
        <f>C6*B13</f>
        <v>60000</v>
      </c>
      <c r="E6" s="113">
        <f>C6*$B$14</f>
        <v>38160</v>
      </c>
      <c r="F6" s="114">
        <f>D6-E6</f>
        <v>21840</v>
      </c>
      <c r="G6" s="115">
        <f>F6-B6</f>
        <v>452</v>
      </c>
      <c r="I6" s="95" t="s">
        <v>184</v>
      </c>
      <c r="J6" s="96"/>
      <c r="K6" s="96"/>
      <c r="L6" s="96"/>
    </row>
    <row r="7" spans="1:12" ht="13.8" thickBot="1">
      <c r="A7" s="40">
        <v>2</v>
      </c>
      <c r="B7" s="41">
        <v>22431</v>
      </c>
      <c r="C7" s="42">
        <v>140</v>
      </c>
      <c r="D7" s="113">
        <f>C7*B13</f>
        <v>70000</v>
      </c>
      <c r="E7" s="113">
        <f t="shared" ref="E7:E9" si="0">C7*$B$14</f>
        <v>44520</v>
      </c>
      <c r="F7" s="114">
        <f t="shared" ref="F7:F9" si="1">D7-E7</f>
        <v>25480</v>
      </c>
      <c r="G7" s="115">
        <f t="shared" ref="G7:G9" si="2">F7-B7</f>
        <v>3049</v>
      </c>
      <c r="I7" s="96"/>
      <c r="J7" s="96"/>
      <c r="K7" s="96"/>
      <c r="L7" s="96"/>
    </row>
    <row r="8" spans="1:12" ht="13.8" thickBot="1">
      <c r="A8" s="40">
        <v>3</v>
      </c>
      <c r="B8" s="41">
        <v>30566</v>
      </c>
      <c r="C8" s="42">
        <v>180</v>
      </c>
      <c r="D8" s="113">
        <f>C8*B13</f>
        <v>90000</v>
      </c>
      <c r="E8" s="113">
        <f t="shared" si="0"/>
        <v>57240</v>
      </c>
      <c r="F8" s="114">
        <f t="shared" si="1"/>
        <v>32760</v>
      </c>
      <c r="G8" s="115">
        <f t="shared" si="2"/>
        <v>2194</v>
      </c>
      <c r="I8" s="96"/>
      <c r="J8" s="96"/>
      <c r="K8" s="96"/>
      <c r="L8" s="96"/>
    </row>
    <row r="9" spans="1:12" ht="13.8" thickBot="1">
      <c r="A9" s="43">
        <v>4</v>
      </c>
      <c r="B9" s="44">
        <v>37562</v>
      </c>
      <c r="C9" s="45">
        <v>210</v>
      </c>
      <c r="D9" s="113">
        <f>C9*B13</f>
        <v>105000</v>
      </c>
      <c r="E9" s="113">
        <f t="shared" si="0"/>
        <v>66780</v>
      </c>
      <c r="F9" s="114">
        <f t="shared" si="1"/>
        <v>38220</v>
      </c>
      <c r="G9" s="115">
        <f t="shared" si="2"/>
        <v>658</v>
      </c>
      <c r="I9" s="96"/>
      <c r="J9" s="96"/>
      <c r="K9" s="96"/>
      <c r="L9" s="96"/>
    </row>
    <row r="10" spans="1:12" ht="13.8" thickTop="1"/>
    <row r="11" spans="1:12" ht="13.8" thickBot="1">
      <c r="E11" s="8"/>
      <c r="F11" s="37"/>
      <c r="G11" s="8"/>
      <c r="H11" s="37"/>
      <c r="I11" s="97" t="s">
        <v>185</v>
      </c>
      <c r="J11" s="98"/>
      <c r="K11" s="98"/>
      <c r="L11" s="98"/>
    </row>
    <row r="12" spans="1:12" ht="13.8" thickTop="1">
      <c r="A12" s="92" t="s">
        <v>72</v>
      </c>
      <c r="B12" s="93"/>
      <c r="E12" s="8"/>
      <c r="F12" s="8"/>
      <c r="G12" s="8"/>
      <c r="H12" s="8"/>
      <c r="I12" s="98"/>
      <c r="J12" s="98"/>
      <c r="K12" s="98"/>
      <c r="L12" s="98"/>
    </row>
    <row r="13" spans="1:12">
      <c r="A13" s="53" t="s">
        <v>71</v>
      </c>
      <c r="B13" s="50">
        <v>500</v>
      </c>
      <c r="E13" s="8"/>
      <c r="F13" s="8"/>
      <c r="G13" s="8"/>
      <c r="H13" s="8"/>
      <c r="I13" s="98"/>
      <c r="J13" s="98"/>
      <c r="K13" s="98"/>
      <c r="L13" s="98"/>
    </row>
    <row r="14" spans="1:12">
      <c r="A14" s="52" t="s">
        <v>70</v>
      </c>
      <c r="B14" s="51">
        <v>318</v>
      </c>
      <c r="E14" s="8"/>
      <c r="F14" s="8"/>
      <c r="G14" s="8"/>
      <c r="H14" s="8"/>
      <c r="I14"/>
    </row>
    <row r="15" spans="1:12" ht="36" customHeight="1">
      <c r="A15" s="2"/>
      <c r="B15" s="2"/>
      <c r="C15" s="2"/>
      <c r="D15" s="2"/>
      <c r="E15" s="8"/>
      <c r="F15" s="8"/>
      <c r="G15" s="8"/>
      <c r="H15" s="8"/>
      <c r="I15" s="99" t="s">
        <v>186</v>
      </c>
      <c r="J15" s="98"/>
      <c r="K15" s="98"/>
      <c r="L15" s="98"/>
    </row>
    <row r="16" spans="1:12">
      <c r="A16" s="2"/>
      <c r="B16" s="2"/>
      <c r="C16" s="2"/>
      <c r="D16" s="2"/>
      <c r="F16"/>
      <c r="H16"/>
      <c r="I16"/>
    </row>
  </sheetData>
  <mergeCells count="5">
    <mergeCell ref="A12:B12"/>
    <mergeCell ref="A4:F4"/>
    <mergeCell ref="I6:L9"/>
    <mergeCell ref="I11:L13"/>
    <mergeCell ref="I15:L15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3">
    <pageSetUpPr fitToPage="1"/>
  </sheetPr>
  <dimension ref="A1:G14"/>
  <sheetViews>
    <sheetView zoomScale="145" zoomScaleNormal="145" workbookViewId="0">
      <selection activeCell="F6" sqref="F6"/>
    </sheetView>
  </sheetViews>
  <sheetFormatPr baseColWidth="10" defaultRowHeight="13.2"/>
  <cols>
    <col min="1" max="1" width="27.6640625" bestFit="1" customWidth="1"/>
    <col min="2" max="2" width="17.44140625" bestFit="1" customWidth="1"/>
    <col min="3" max="3" width="16.88671875" bestFit="1" customWidth="1"/>
    <col min="4" max="4" width="11.6640625" customWidth="1"/>
    <col min="5" max="5" width="14" customWidth="1"/>
  </cols>
  <sheetData>
    <row r="1" spans="1:7" ht="13.8" thickTop="1">
      <c r="A1" s="46" t="s">
        <v>93</v>
      </c>
      <c r="B1" s="39" t="s">
        <v>92</v>
      </c>
      <c r="C1" s="39" t="s">
        <v>91</v>
      </c>
      <c r="D1" s="39" t="s">
        <v>90</v>
      </c>
      <c r="E1" s="39" t="s">
        <v>82</v>
      </c>
      <c r="F1" s="14"/>
      <c r="G1" s="14"/>
    </row>
    <row r="2" spans="1:7">
      <c r="A2" s="36" t="s">
        <v>89</v>
      </c>
      <c r="B2" s="36">
        <v>30</v>
      </c>
      <c r="C2" s="35">
        <v>500</v>
      </c>
      <c r="D2" s="35">
        <f>B2*C2</f>
        <v>15000</v>
      </c>
      <c r="E2" s="32">
        <f>D2/B12</f>
        <v>100000</v>
      </c>
      <c r="F2" s="14"/>
      <c r="G2" s="14"/>
    </row>
    <row r="3" spans="1:7">
      <c r="A3" s="36" t="s">
        <v>88</v>
      </c>
      <c r="B3" s="36">
        <v>20</v>
      </c>
      <c r="C3" s="35">
        <v>300</v>
      </c>
      <c r="D3" s="35">
        <f t="shared" ref="D3:D8" si="0">B3*C3</f>
        <v>6000</v>
      </c>
      <c r="E3" s="32">
        <f>D3/B12</f>
        <v>40000</v>
      </c>
      <c r="F3" s="14"/>
      <c r="G3" s="14"/>
    </row>
    <row r="4" spans="1:7">
      <c r="A4" s="36" t="s">
        <v>87</v>
      </c>
      <c r="B4" s="36">
        <v>60</v>
      </c>
      <c r="C4" s="35">
        <v>600</v>
      </c>
      <c r="D4" s="35">
        <f t="shared" si="0"/>
        <v>36000</v>
      </c>
      <c r="E4" s="32">
        <f>D4/B12</f>
        <v>240000</v>
      </c>
      <c r="F4" s="14"/>
      <c r="G4" s="14"/>
    </row>
    <row r="5" spans="1:7">
      <c r="A5" s="36" t="s">
        <v>86</v>
      </c>
      <c r="B5" s="36">
        <v>70</v>
      </c>
      <c r="C5" s="35">
        <v>800</v>
      </c>
      <c r="D5" s="35">
        <f t="shared" si="0"/>
        <v>56000</v>
      </c>
      <c r="E5" s="32">
        <f>D5/B12</f>
        <v>373333.33333333337</v>
      </c>
      <c r="F5" s="14"/>
      <c r="G5" s="14"/>
    </row>
    <row r="6" spans="1:7">
      <c r="A6" s="36" t="s">
        <v>85</v>
      </c>
      <c r="B6" s="36">
        <v>10</v>
      </c>
      <c r="C6" s="35">
        <v>400</v>
      </c>
      <c r="D6" s="35">
        <f t="shared" si="0"/>
        <v>4000</v>
      </c>
      <c r="E6" s="32">
        <f>D6/B12</f>
        <v>26666.666666666668</v>
      </c>
    </row>
    <row r="7" spans="1:7">
      <c r="A7" s="36" t="s">
        <v>84</v>
      </c>
      <c r="B7" s="36">
        <v>15</v>
      </c>
      <c r="C7" s="35">
        <v>800</v>
      </c>
      <c r="D7" s="35">
        <f t="shared" si="0"/>
        <v>12000</v>
      </c>
      <c r="E7" s="32">
        <f>D7/B12</f>
        <v>80000</v>
      </c>
    </row>
    <row r="8" spans="1:7">
      <c r="A8" s="36" t="s">
        <v>83</v>
      </c>
      <c r="B8" s="36">
        <v>55</v>
      </c>
      <c r="C8" s="35">
        <v>600</v>
      </c>
      <c r="D8" s="35">
        <f t="shared" si="0"/>
        <v>33000</v>
      </c>
      <c r="E8" s="32">
        <f>D8/B12</f>
        <v>220000</v>
      </c>
    </row>
    <row r="9" spans="1:7">
      <c r="A9" s="1"/>
      <c r="E9" s="8"/>
    </row>
    <row r="12" spans="1:7">
      <c r="A12" s="7" t="s">
        <v>82</v>
      </c>
      <c r="B12" s="79">
        <v>0.15</v>
      </c>
      <c r="C12" t="s">
        <v>81</v>
      </c>
    </row>
    <row r="14" spans="1:7">
      <c r="A14" s="1" t="s">
        <v>80</v>
      </c>
    </row>
  </sheetData>
  <phoneticPr fontId="0" type="noConversion"/>
  <pageMargins left="0.75" right="0.75" top="1" bottom="1" header="0" footer="0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5">
    <pageSetUpPr fitToPage="1"/>
  </sheetPr>
  <dimension ref="A1:H14"/>
  <sheetViews>
    <sheetView topLeftCell="A4" zoomScale="160" zoomScaleNormal="160" workbookViewId="0">
      <selection activeCell="F8" sqref="F8"/>
    </sheetView>
  </sheetViews>
  <sheetFormatPr baseColWidth="10" defaultColWidth="11.44140625" defaultRowHeight="11.4"/>
  <cols>
    <col min="1" max="1" width="11.44140625" style="9"/>
    <col min="2" max="2" width="13.109375" style="9" customWidth="1"/>
    <col min="3" max="3" width="13.6640625" style="9" customWidth="1"/>
    <col min="4" max="4" width="11.77734375" style="9" bestFit="1" customWidth="1"/>
    <col min="5" max="16384" width="11.44140625" style="9"/>
  </cols>
  <sheetData>
    <row r="1" spans="1:8">
      <c r="F1" s="67"/>
      <c r="G1" s="67"/>
      <c r="H1" s="67"/>
    </row>
    <row r="2" spans="1:8">
      <c r="F2" s="67"/>
      <c r="G2" s="67"/>
      <c r="H2" s="67"/>
    </row>
    <row r="3" spans="1:8" ht="12" thickBot="1">
      <c r="F3" s="67"/>
      <c r="G3" s="67"/>
      <c r="H3" s="67"/>
    </row>
    <row r="4" spans="1:8" s="11" customFormat="1" ht="40.200000000000003" thickTop="1">
      <c r="A4" s="46" t="s">
        <v>107</v>
      </c>
      <c r="B4" s="39" t="s">
        <v>106</v>
      </c>
      <c r="C4" s="39" t="s">
        <v>105</v>
      </c>
      <c r="D4" s="39" t="s">
        <v>104</v>
      </c>
      <c r="E4" s="54" t="s">
        <v>103</v>
      </c>
      <c r="F4" s="68"/>
      <c r="G4" s="68"/>
      <c r="H4" s="68"/>
    </row>
    <row r="5" spans="1:8" ht="13.2">
      <c r="A5" s="36" t="s">
        <v>102</v>
      </c>
      <c r="B5" s="36">
        <v>250</v>
      </c>
      <c r="C5" s="35">
        <v>15</v>
      </c>
      <c r="D5" s="116">
        <f>B5*C5</f>
        <v>3750</v>
      </c>
      <c r="E5" s="73">
        <f>D5+B14</f>
        <v>3850</v>
      </c>
    </row>
    <row r="6" spans="1:8" ht="13.2">
      <c r="A6" s="36" t="s">
        <v>101</v>
      </c>
      <c r="B6" s="36">
        <v>350</v>
      </c>
      <c r="C6" s="35">
        <v>10</v>
      </c>
      <c r="D6" s="116">
        <f t="shared" ref="D6:D11" si="0">B6*C6</f>
        <v>3500</v>
      </c>
      <c r="E6" s="73">
        <f t="shared" ref="E6:E12" si="1">D6+B15</f>
        <v>3500</v>
      </c>
    </row>
    <row r="7" spans="1:8" ht="13.2">
      <c r="A7" s="36" t="s">
        <v>100</v>
      </c>
      <c r="B7" s="36">
        <v>450</v>
      </c>
      <c r="C7" s="35">
        <v>10</v>
      </c>
      <c r="D7" s="116">
        <f t="shared" si="0"/>
        <v>4500</v>
      </c>
      <c r="E7" s="73">
        <f t="shared" si="1"/>
        <v>4500</v>
      </c>
    </row>
    <row r="8" spans="1:8" ht="13.2">
      <c r="A8" s="36" t="s">
        <v>99</v>
      </c>
      <c r="B8" s="36">
        <v>425</v>
      </c>
      <c r="C8" s="35">
        <v>15</v>
      </c>
      <c r="D8" s="116">
        <f t="shared" si="0"/>
        <v>6375</v>
      </c>
      <c r="E8" s="73">
        <f t="shared" si="1"/>
        <v>6375</v>
      </c>
    </row>
    <row r="9" spans="1:8" ht="13.2">
      <c r="A9" s="36" t="s">
        <v>98</v>
      </c>
      <c r="B9" s="36">
        <v>420</v>
      </c>
      <c r="C9" s="35">
        <v>15</v>
      </c>
      <c r="D9" s="116">
        <f t="shared" si="0"/>
        <v>6300</v>
      </c>
      <c r="E9" s="73">
        <f t="shared" si="1"/>
        <v>6300</v>
      </c>
    </row>
    <row r="10" spans="1:8" ht="13.2">
      <c r="A10" s="36" t="s">
        <v>97</v>
      </c>
      <c r="B10" s="36">
        <v>190</v>
      </c>
      <c r="C10" s="35">
        <v>10</v>
      </c>
      <c r="D10" s="116">
        <f t="shared" si="0"/>
        <v>1900</v>
      </c>
      <c r="E10" s="73">
        <f t="shared" si="1"/>
        <v>1900</v>
      </c>
    </row>
    <row r="11" spans="1:8" ht="13.8" thickBot="1">
      <c r="A11" s="36" t="s">
        <v>96</v>
      </c>
      <c r="B11" s="36">
        <v>198</v>
      </c>
      <c r="C11" s="35">
        <v>10</v>
      </c>
      <c r="D11" s="116">
        <f t="shared" si="0"/>
        <v>1980</v>
      </c>
      <c r="E11" s="73">
        <f t="shared" si="1"/>
        <v>1980</v>
      </c>
    </row>
    <row r="12" spans="1:8" ht="14.4" thickTop="1" thickBot="1">
      <c r="B12" s="100" t="s">
        <v>95</v>
      </c>
      <c r="C12" s="101"/>
      <c r="D12" s="102"/>
      <c r="E12" s="73">
        <f>SUM(E5:E11)</f>
        <v>28405</v>
      </c>
    </row>
    <row r="13" spans="1:8" ht="12.6" thickTop="1" thickBot="1"/>
    <row r="14" spans="1:8" ht="13.8" thickTop="1">
      <c r="A14" s="46" t="s">
        <v>187</v>
      </c>
      <c r="B14" s="10">
        <v>100</v>
      </c>
    </row>
  </sheetData>
  <mergeCells count="1">
    <mergeCell ref="B12:D12"/>
  </mergeCells>
  <phoneticPr fontId="0" type="noConversion"/>
  <pageMargins left="0.75" right="0.75" top="1" bottom="1" header="0" footer="0"/>
  <pageSetup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6">
    <pageSetUpPr fitToPage="1"/>
  </sheetPr>
  <dimension ref="A1:H22"/>
  <sheetViews>
    <sheetView topLeftCell="A4" zoomScale="130" zoomScaleNormal="130" workbookViewId="0">
      <selection activeCell="D23" sqref="D23"/>
    </sheetView>
  </sheetViews>
  <sheetFormatPr baseColWidth="10" defaultRowHeight="13.2"/>
  <cols>
    <col min="3" max="4" width="12.33203125" customWidth="1"/>
  </cols>
  <sheetData>
    <row r="1" spans="1:8" ht="13.8" thickBot="1">
      <c r="A1" s="55" t="s">
        <v>129</v>
      </c>
      <c r="B1" s="57">
        <v>0.12</v>
      </c>
      <c r="C1" s="12"/>
      <c r="D1" s="55" t="s">
        <v>128</v>
      </c>
      <c r="E1" s="56">
        <v>7.0000000000000007E-2</v>
      </c>
      <c r="G1" s="14"/>
      <c r="H1" s="14"/>
    </row>
    <row r="2" spans="1:8" ht="5.25" customHeight="1" thickBot="1">
      <c r="A2" s="2"/>
      <c r="B2" s="2"/>
      <c r="C2" s="2"/>
      <c r="D2" s="2"/>
      <c r="E2" s="2"/>
      <c r="G2" s="14"/>
      <c r="H2" s="14"/>
    </row>
    <row r="3" spans="1:8" ht="27" thickTop="1">
      <c r="A3" s="46" t="s">
        <v>127</v>
      </c>
      <c r="B3" s="39" t="s">
        <v>126</v>
      </c>
      <c r="C3" s="39" t="s">
        <v>125</v>
      </c>
      <c r="D3" s="39" t="s">
        <v>124</v>
      </c>
      <c r="E3" s="54" t="s">
        <v>123</v>
      </c>
      <c r="G3" s="14"/>
      <c r="H3" s="14"/>
    </row>
    <row r="4" spans="1:8">
      <c r="A4" s="36" t="s">
        <v>122</v>
      </c>
      <c r="B4" s="32">
        <v>147852</v>
      </c>
      <c r="C4" s="35">
        <f>B4*$B$1</f>
        <v>17742.239999999998</v>
      </c>
      <c r="D4" s="35">
        <f>B4*$E$1</f>
        <v>10349.640000000001</v>
      </c>
      <c r="E4" s="81">
        <f>B4-C4-D4</f>
        <v>119760.12000000001</v>
      </c>
      <c r="G4" s="14"/>
      <c r="H4" s="14"/>
    </row>
    <row r="5" spans="1:8">
      <c r="A5" s="36" t="s">
        <v>121</v>
      </c>
      <c r="B5" s="32">
        <v>369852</v>
      </c>
      <c r="C5" s="35">
        <f t="shared" ref="C5:C14" si="0">B5*$B$1</f>
        <v>44382.239999999998</v>
      </c>
      <c r="D5" s="35">
        <f t="shared" ref="D5:D14" si="1">B5*$E$1</f>
        <v>25889.640000000003</v>
      </c>
      <c r="E5" s="81">
        <f t="shared" ref="E5:E14" si="2">B5-C5-D5</f>
        <v>299580.12</v>
      </c>
    </row>
    <row r="6" spans="1:8">
      <c r="A6" s="36" t="s">
        <v>120</v>
      </c>
      <c r="B6" s="32">
        <v>159753</v>
      </c>
      <c r="C6" s="35">
        <f t="shared" si="0"/>
        <v>19170.36</v>
      </c>
      <c r="D6" s="35">
        <f t="shared" si="1"/>
        <v>11182.710000000001</v>
      </c>
      <c r="E6" s="81">
        <f t="shared" si="2"/>
        <v>129399.93000000001</v>
      </c>
    </row>
    <row r="7" spans="1:8">
      <c r="A7" s="36" t="s">
        <v>119</v>
      </c>
      <c r="B7" s="32">
        <v>852147</v>
      </c>
      <c r="C7" s="35">
        <f t="shared" si="0"/>
        <v>102257.64</v>
      </c>
      <c r="D7" s="35">
        <f t="shared" si="1"/>
        <v>59650.290000000008</v>
      </c>
      <c r="E7" s="81">
        <f t="shared" si="2"/>
        <v>690239.07</v>
      </c>
    </row>
    <row r="8" spans="1:8">
      <c r="A8" s="36" t="s">
        <v>118</v>
      </c>
      <c r="B8" s="32">
        <v>963258</v>
      </c>
      <c r="C8" s="35">
        <f t="shared" si="0"/>
        <v>115590.95999999999</v>
      </c>
      <c r="D8" s="35">
        <f t="shared" si="1"/>
        <v>67428.060000000012</v>
      </c>
      <c r="E8" s="81">
        <f t="shared" si="2"/>
        <v>780238.98</v>
      </c>
    </row>
    <row r="9" spans="1:8">
      <c r="A9" s="36" t="s">
        <v>117</v>
      </c>
      <c r="B9" s="32">
        <v>987456</v>
      </c>
      <c r="C9" s="35">
        <f t="shared" si="0"/>
        <v>118494.72</v>
      </c>
      <c r="D9" s="35">
        <f t="shared" si="1"/>
        <v>69121.920000000013</v>
      </c>
      <c r="E9" s="81">
        <f t="shared" si="2"/>
        <v>799839.36</v>
      </c>
    </row>
    <row r="10" spans="1:8">
      <c r="A10" s="36" t="s">
        <v>116</v>
      </c>
      <c r="B10" s="32">
        <v>985632</v>
      </c>
      <c r="C10" s="35">
        <f t="shared" si="0"/>
        <v>118275.84</v>
      </c>
      <c r="D10" s="35">
        <f t="shared" si="1"/>
        <v>68994.240000000005</v>
      </c>
      <c r="E10" s="81">
        <f t="shared" si="2"/>
        <v>798361.92</v>
      </c>
    </row>
    <row r="11" spans="1:8">
      <c r="A11" s="36" t="s">
        <v>115</v>
      </c>
      <c r="B11" s="32">
        <v>145236</v>
      </c>
      <c r="C11" s="35">
        <f t="shared" si="0"/>
        <v>17428.32</v>
      </c>
      <c r="D11" s="35">
        <f t="shared" si="1"/>
        <v>10166.52</v>
      </c>
      <c r="E11" s="81">
        <f t="shared" si="2"/>
        <v>117641.15999999999</v>
      </c>
    </row>
    <row r="12" spans="1:8">
      <c r="A12" s="36" t="s">
        <v>114</v>
      </c>
      <c r="B12" s="32">
        <v>985632</v>
      </c>
      <c r="C12" s="35">
        <f t="shared" si="0"/>
        <v>118275.84</v>
      </c>
      <c r="D12" s="35">
        <f t="shared" si="1"/>
        <v>68994.240000000005</v>
      </c>
      <c r="E12" s="81">
        <f t="shared" si="2"/>
        <v>798361.92</v>
      </c>
    </row>
    <row r="13" spans="1:8">
      <c r="A13" s="36" t="s">
        <v>113</v>
      </c>
      <c r="B13" s="32">
        <v>784512</v>
      </c>
      <c r="C13" s="35">
        <f t="shared" si="0"/>
        <v>94141.440000000002</v>
      </c>
      <c r="D13" s="35">
        <f t="shared" si="1"/>
        <v>54915.840000000004</v>
      </c>
      <c r="E13" s="81">
        <f t="shared" si="2"/>
        <v>635454.72000000009</v>
      </c>
    </row>
    <row r="14" spans="1:8">
      <c r="A14" s="36" t="s">
        <v>112</v>
      </c>
      <c r="B14" s="32">
        <v>987321</v>
      </c>
      <c r="C14" s="35">
        <f t="shared" si="0"/>
        <v>118478.51999999999</v>
      </c>
      <c r="D14" s="35">
        <f t="shared" si="1"/>
        <v>69112.47</v>
      </c>
      <c r="E14" s="81">
        <f t="shared" si="2"/>
        <v>799730.01</v>
      </c>
    </row>
    <row r="15" spans="1:8" ht="13.8" thickBot="1"/>
    <row r="16" spans="1:8" ht="13.8" thickBot="1">
      <c r="A16" t="s">
        <v>111</v>
      </c>
      <c r="D16" s="82">
        <f>MAX(E2:E14)</f>
        <v>799839.36</v>
      </c>
    </row>
    <row r="17" spans="1:8" ht="13.8" thickBot="1">
      <c r="D17" s="14"/>
      <c r="G17" s="74"/>
      <c r="H17" s="74"/>
    </row>
    <row r="18" spans="1:8" ht="13.8" thickBot="1">
      <c r="A18" t="s">
        <v>110</v>
      </c>
      <c r="D18" s="82">
        <f>MIN(E2:E14)</f>
        <v>117641.15999999999</v>
      </c>
    </row>
    <row r="19" spans="1:8" ht="13.8" thickBot="1">
      <c r="D19" s="14"/>
    </row>
    <row r="20" spans="1:8" ht="13.8" thickBot="1">
      <c r="A20" t="s">
        <v>109</v>
      </c>
      <c r="D20" s="82">
        <f>AVERAGE(E2:E14)</f>
        <v>542600.66454545455</v>
      </c>
    </row>
    <row r="21" spans="1:8" ht="13.8" thickBot="1">
      <c r="D21" s="14"/>
    </row>
    <row r="22" spans="1:8" ht="13.8" thickBot="1">
      <c r="A22" t="s">
        <v>108</v>
      </c>
      <c r="D22" s="82">
        <f>SUM(E2:E14)</f>
        <v>5968607.3099999996</v>
      </c>
    </row>
  </sheetData>
  <phoneticPr fontId="0" type="noConversion"/>
  <pageMargins left="0.75" right="0.75" top="1" bottom="1" header="0" footer="0"/>
  <pageSetup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7">
    <pageSetUpPr fitToPage="1"/>
  </sheetPr>
  <dimension ref="A1:I14"/>
  <sheetViews>
    <sheetView workbookViewId="0">
      <selection activeCell="C15" sqref="C15"/>
    </sheetView>
  </sheetViews>
  <sheetFormatPr baseColWidth="10" defaultRowHeight="13.2"/>
  <cols>
    <col min="1" max="1" width="14.33203125" bestFit="1" customWidth="1"/>
    <col min="3" max="3" width="12.33203125" bestFit="1" customWidth="1"/>
  </cols>
  <sheetData>
    <row r="1" spans="1:9">
      <c r="A1" s="58" t="s">
        <v>0</v>
      </c>
      <c r="B1" s="58"/>
      <c r="C1" s="58"/>
      <c r="D1" s="58"/>
      <c r="E1" s="58"/>
      <c r="F1" s="58"/>
      <c r="G1" s="14"/>
      <c r="H1" s="14"/>
      <c r="I1" s="14"/>
    </row>
    <row r="2" spans="1:9">
      <c r="A2" s="58" t="s">
        <v>1</v>
      </c>
      <c r="B2" s="58"/>
      <c r="C2" s="58"/>
      <c r="D2" s="58"/>
      <c r="E2" s="58"/>
      <c r="F2" s="58"/>
      <c r="G2" s="14"/>
      <c r="H2" s="14"/>
      <c r="I2" s="14"/>
    </row>
    <row r="3" spans="1:9">
      <c r="A3" s="58" t="s">
        <v>2</v>
      </c>
      <c r="B3" s="58"/>
      <c r="C3" s="58"/>
      <c r="D3" s="58"/>
      <c r="E3" s="58"/>
      <c r="F3" s="58"/>
      <c r="G3" s="14"/>
      <c r="H3" s="14"/>
      <c r="I3" s="14"/>
    </row>
    <row r="4" spans="1:9">
      <c r="G4" s="14"/>
      <c r="H4" s="14"/>
      <c r="I4" s="14"/>
    </row>
    <row r="5" spans="1:9">
      <c r="A5" t="s">
        <v>94</v>
      </c>
      <c r="B5" t="s">
        <v>142</v>
      </c>
      <c r="C5" t="s">
        <v>141</v>
      </c>
      <c r="D5" t="s">
        <v>140</v>
      </c>
      <c r="E5" t="s">
        <v>139</v>
      </c>
      <c r="F5" t="s">
        <v>138</v>
      </c>
      <c r="G5" s="14"/>
      <c r="H5" s="14"/>
      <c r="I5" s="14"/>
    </row>
    <row r="6" spans="1:9">
      <c r="A6" t="s">
        <v>137</v>
      </c>
      <c r="B6">
        <v>6.5</v>
      </c>
      <c r="C6">
        <v>5.5</v>
      </c>
      <c r="D6">
        <v>5.0999999999999996</v>
      </c>
      <c r="E6">
        <v>5.9</v>
      </c>
      <c r="F6" s="75">
        <f>AVERAGE(B6:E6)</f>
        <v>5.75</v>
      </c>
    </row>
    <row r="7" spans="1:9">
      <c r="A7" t="s">
        <v>136</v>
      </c>
      <c r="B7">
        <v>5</v>
      </c>
      <c r="C7">
        <v>4.5999999999999996</v>
      </c>
      <c r="D7">
        <v>4.0999999999999996</v>
      </c>
      <c r="E7">
        <v>4.2</v>
      </c>
      <c r="F7" s="75">
        <f>AVERAGE(B7:E7)</f>
        <v>4.4749999999999996</v>
      </c>
    </row>
    <row r="8" spans="1:9">
      <c r="A8" t="s">
        <v>135</v>
      </c>
      <c r="B8">
        <v>5.8</v>
      </c>
      <c r="C8">
        <v>6.4</v>
      </c>
      <c r="D8">
        <v>3.4</v>
      </c>
      <c r="E8">
        <v>4.8</v>
      </c>
      <c r="F8" s="75">
        <f>AVERAGE(B8:E8)</f>
        <v>5.0999999999999996</v>
      </c>
    </row>
    <row r="9" spans="1:9">
      <c r="A9" t="s">
        <v>134</v>
      </c>
      <c r="B9">
        <v>7</v>
      </c>
      <c r="C9">
        <v>5.9</v>
      </c>
      <c r="D9">
        <v>6.1</v>
      </c>
      <c r="E9">
        <v>6.3</v>
      </c>
      <c r="F9" s="75">
        <f>AVERAGE(B9:E9)</f>
        <v>6.3250000000000002</v>
      </c>
    </row>
    <row r="10" spans="1:9">
      <c r="A10" t="s">
        <v>133</v>
      </c>
      <c r="B10">
        <v>4.3</v>
      </c>
      <c r="C10">
        <v>5.6</v>
      </c>
      <c r="D10">
        <v>5.4</v>
      </c>
      <c r="E10">
        <v>2.1</v>
      </c>
      <c r="F10" s="75">
        <f>AVERAGE(B10:E10)</f>
        <v>4.3499999999999996</v>
      </c>
    </row>
    <row r="11" spans="1:9">
      <c r="A11" t="s">
        <v>132</v>
      </c>
      <c r="B11">
        <v>6.3</v>
      </c>
      <c r="C11">
        <v>2.4</v>
      </c>
      <c r="D11">
        <v>5.9</v>
      </c>
      <c r="E11">
        <v>6</v>
      </c>
      <c r="F11" s="75">
        <f>AVERAGE(B11:E11)</f>
        <v>5.15</v>
      </c>
    </row>
    <row r="12" spans="1:9" ht="13.8" thickBot="1"/>
    <row r="13" spans="1:9" ht="13.8" thickBot="1">
      <c r="A13" s="103" t="s">
        <v>131</v>
      </c>
      <c r="B13" s="104"/>
      <c r="C13" s="76">
        <f>MAX(F6:F11)</f>
        <v>6.3250000000000002</v>
      </c>
    </row>
    <row r="14" spans="1:9" ht="13.8" thickBot="1">
      <c r="A14" s="103" t="s">
        <v>130</v>
      </c>
      <c r="B14" s="104"/>
      <c r="C14" s="76">
        <f>MIN(F6:F11)</f>
        <v>4.3499999999999996</v>
      </c>
    </row>
  </sheetData>
  <mergeCells count="2">
    <mergeCell ref="A13:B13"/>
    <mergeCell ref="A14:B14"/>
  </mergeCells>
  <phoneticPr fontId="0" type="noConversion"/>
  <pageMargins left="0.75" right="0.75" top="1" bottom="1" header="0" footer="0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8">
    <pageSetUpPr fitToPage="1"/>
  </sheetPr>
  <dimension ref="A1:N24"/>
  <sheetViews>
    <sheetView tabSelected="1" zoomScaleNormal="100" workbookViewId="0">
      <selection activeCell="B25" sqref="B25"/>
    </sheetView>
  </sheetViews>
  <sheetFormatPr baseColWidth="10" defaultRowHeight="13.2"/>
  <cols>
    <col min="1" max="1" width="41.44140625" bestFit="1" customWidth="1"/>
    <col min="2" max="2" width="12.33203125" customWidth="1"/>
    <col min="3" max="3" width="10.6640625" customWidth="1"/>
    <col min="4" max="4" width="13" customWidth="1"/>
    <col min="5" max="5" width="18.6640625" bestFit="1" customWidth="1"/>
    <col min="6" max="6" width="12.88671875" bestFit="1" customWidth="1"/>
  </cols>
  <sheetData>
    <row r="1" spans="1:14" ht="30.75" customHeight="1" thickTop="1">
      <c r="A1" s="39" t="s">
        <v>182</v>
      </c>
      <c r="B1" s="39" t="s">
        <v>181</v>
      </c>
      <c r="C1" s="39" t="s">
        <v>180</v>
      </c>
      <c r="D1" s="39" t="s">
        <v>3</v>
      </c>
      <c r="E1" s="39" t="s">
        <v>179</v>
      </c>
      <c r="F1" s="47" t="s">
        <v>178</v>
      </c>
      <c r="G1" s="14"/>
      <c r="H1" s="14"/>
      <c r="I1" s="14"/>
      <c r="J1" s="14"/>
      <c r="K1" s="14"/>
      <c r="L1" s="14"/>
      <c r="M1" s="14"/>
      <c r="N1" s="14"/>
    </row>
    <row r="2" spans="1:14">
      <c r="A2" s="49" t="s">
        <v>177</v>
      </c>
      <c r="B2" s="49">
        <v>1997</v>
      </c>
      <c r="C2" s="59" t="s">
        <v>176</v>
      </c>
      <c r="D2" s="59">
        <v>797</v>
      </c>
      <c r="E2" s="49" t="s">
        <v>154</v>
      </c>
      <c r="F2" s="49" t="s">
        <v>172</v>
      </c>
      <c r="G2" s="14"/>
      <c r="H2" s="14"/>
      <c r="I2" s="14"/>
      <c r="J2" s="14"/>
      <c r="K2" s="14"/>
      <c r="L2" s="14"/>
      <c r="M2" s="14"/>
      <c r="N2" s="14"/>
    </row>
    <row r="3" spans="1:14">
      <c r="A3" s="49" t="s">
        <v>175</v>
      </c>
      <c r="B3" s="49">
        <v>1997</v>
      </c>
      <c r="C3" s="59" t="s">
        <v>161</v>
      </c>
      <c r="D3" s="59">
        <v>8165</v>
      </c>
      <c r="E3" s="49" t="s">
        <v>154</v>
      </c>
      <c r="F3" s="49"/>
      <c r="G3" s="14"/>
      <c r="H3" s="14"/>
      <c r="I3" s="14"/>
      <c r="J3" s="14"/>
      <c r="K3" s="14"/>
      <c r="L3" s="14"/>
      <c r="M3" s="14"/>
      <c r="N3" s="14"/>
    </row>
    <row r="4" spans="1:14">
      <c r="A4" s="49" t="s">
        <v>174</v>
      </c>
      <c r="B4" s="49">
        <v>1997</v>
      </c>
      <c r="C4" s="59" t="s">
        <v>168</v>
      </c>
      <c r="D4" s="59">
        <v>7047</v>
      </c>
      <c r="E4" s="49" t="s">
        <v>163</v>
      </c>
      <c r="F4" s="49" t="s">
        <v>151</v>
      </c>
      <c r="G4" s="14"/>
      <c r="H4" s="14"/>
      <c r="I4" s="14"/>
      <c r="J4" s="14"/>
      <c r="K4" s="14"/>
      <c r="L4" s="14"/>
      <c r="M4" s="14"/>
      <c r="N4" s="14"/>
    </row>
    <row r="5" spans="1:14">
      <c r="A5" s="49" t="s">
        <v>173</v>
      </c>
      <c r="B5" s="49">
        <v>1997</v>
      </c>
      <c r="C5" s="59" t="s">
        <v>157</v>
      </c>
      <c r="D5" s="59">
        <v>6751</v>
      </c>
      <c r="E5" s="49" t="s">
        <v>163</v>
      </c>
      <c r="F5" s="49" t="s">
        <v>172</v>
      </c>
      <c r="G5" s="14"/>
      <c r="H5" s="14"/>
      <c r="I5" s="14"/>
      <c r="J5" s="14"/>
      <c r="K5" s="14"/>
      <c r="L5" s="14"/>
      <c r="M5" s="14"/>
      <c r="N5" s="14"/>
    </row>
    <row r="6" spans="1:14">
      <c r="A6" s="49" t="s">
        <v>171</v>
      </c>
      <c r="B6" s="49">
        <v>1997</v>
      </c>
      <c r="C6" s="59" t="s">
        <v>170</v>
      </c>
      <c r="D6" s="59">
        <v>900</v>
      </c>
      <c r="E6" s="49" t="s">
        <v>163</v>
      </c>
      <c r="F6" s="49"/>
    </row>
    <row r="7" spans="1:14">
      <c r="A7" s="49" t="s">
        <v>169</v>
      </c>
      <c r="B7" s="49">
        <v>1998</v>
      </c>
      <c r="C7" s="59" t="s">
        <v>168</v>
      </c>
      <c r="D7" s="59">
        <v>7686</v>
      </c>
      <c r="E7" s="49" t="s">
        <v>154</v>
      </c>
      <c r="F7" s="49" t="s">
        <v>151</v>
      </c>
    </row>
    <row r="8" spans="1:14">
      <c r="A8" s="49" t="s">
        <v>167</v>
      </c>
      <c r="B8" s="49">
        <v>1998</v>
      </c>
      <c r="C8" s="59" t="s">
        <v>152</v>
      </c>
      <c r="D8" s="59">
        <v>8076</v>
      </c>
      <c r="E8" s="49" t="s">
        <v>154</v>
      </c>
      <c r="F8" s="49" t="s">
        <v>151</v>
      </c>
    </row>
    <row r="9" spans="1:14">
      <c r="A9" s="49" t="s">
        <v>166</v>
      </c>
      <c r="B9" s="49">
        <v>1998</v>
      </c>
      <c r="C9" s="59" t="s">
        <v>164</v>
      </c>
      <c r="D9" s="59">
        <v>650</v>
      </c>
      <c r="E9" s="49" t="s">
        <v>163</v>
      </c>
      <c r="F9" s="49" t="s">
        <v>151</v>
      </c>
    </row>
    <row r="10" spans="1:14">
      <c r="A10" s="49" t="s">
        <v>165</v>
      </c>
      <c r="B10" s="49">
        <v>1998</v>
      </c>
      <c r="C10" s="59" t="s">
        <v>164</v>
      </c>
      <c r="D10" s="59">
        <v>840</v>
      </c>
      <c r="E10" s="49" t="s">
        <v>163</v>
      </c>
      <c r="F10" s="49" t="s">
        <v>151</v>
      </c>
    </row>
    <row r="11" spans="1:14">
      <c r="A11" s="49" t="s">
        <v>162</v>
      </c>
      <c r="B11" s="49">
        <v>1999</v>
      </c>
      <c r="C11" s="59" t="s">
        <v>161</v>
      </c>
      <c r="D11" s="59">
        <v>7191</v>
      </c>
      <c r="E11" s="49" t="s">
        <v>154</v>
      </c>
      <c r="F11" s="49"/>
    </row>
    <row r="12" spans="1:14">
      <c r="A12" s="49" t="s">
        <v>160</v>
      </c>
      <c r="B12" s="49">
        <v>1999</v>
      </c>
      <c r="C12" s="59" t="s">
        <v>159</v>
      </c>
      <c r="D12" s="59">
        <v>6544</v>
      </c>
      <c r="E12" s="49" t="s">
        <v>154</v>
      </c>
      <c r="F12" s="49" t="s">
        <v>147</v>
      </c>
    </row>
    <row r="13" spans="1:14">
      <c r="A13" s="49" t="s">
        <v>158</v>
      </c>
      <c r="B13" s="49">
        <v>1999</v>
      </c>
      <c r="C13" s="59" t="s">
        <v>157</v>
      </c>
      <c r="D13" s="59">
        <v>2741</v>
      </c>
      <c r="E13" s="49" t="s">
        <v>155</v>
      </c>
      <c r="F13" s="49" t="s">
        <v>151</v>
      </c>
    </row>
    <row r="14" spans="1:14">
      <c r="A14" s="49" t="s">
        <v>156</v>
      </c>
      <c r="B14" s="49">
        <v>1999</v>
      </c>
      <c r="C14" s="59" t="s">
        <v>149</v>
      </c>
      <c r="D14" s="59">
        <v>865</v>
      </c>
      <c r="E14" s="49" t="s">
        <v>155</v>
      </c>
      <c r="F14" s="49"/>
    </row>
    <row r="15" spans="1:14">
      <c r="A15" s="49" t="s">
        <v>153</v>
      </c>
      <c r="B15" s="49">
        <v>2000</v>
      </c>
      <c r="C15" s="59" t="s">
        <v>152</v>
      </c>
      <c r="D15" s="59">
        <v>4923</v>
      </c>
      <c r="E15" s="49" t="s">
        <v>155</v>
      </c>
      <c r="F15" s="49" t="s">
        <v>151</v>
      </c>
    </row>
    <row r="16" spans="1:14">
      <c r="A16" s="49" t="s">
        <v>150</v>
      </c>
      <c r="B16" s="49">
        <v>2000</v>
      </c>
      <c r="C16" s="59" t="s">
        <v>149</v>
      </c>
      <c r="D16" s="59">
        <v>750</v>
      </c>
      <c r="E16" s="49" t="s">
        <v>154</v>
      </c>
      <c r="F16" s="49" t="s">
        <v>147</v>
      </c>
    </row>
    <row r="17" spans="1:6">
      <c r="A17" s="49" t="s">
        <v>153</v>
      </c>
      <c r="B17" s="49">
        <v>2000</v>
      </c>
      <c r="C17" s="59" t="s">
        <v>152</v>
      </c>
      <c r="D17" s="59">
        <v>4923</v>
      </c>
      <c r="E17" s="49" t="s">
        <v>148</v>
      </c>
      <c r="F17" s="49" t="s">
        <v>151</v>
      </c>
    </row>
    <row r="18" spans="1:6">
      <c r="A18" s="49" t="s">
        <v>150</v>
      </c>
      <c r="B18" s="49">
        <v>2000</v>
      </c>
      <c r="C18" s="59" t="s">
        <v>149</v>
      </c>
      <c r="D18" s="59">
        <v>750</v>
      </c>
      <c r="E18" s="49" t="s">
        <v>148</v>
      </c>
      <c r="F18" s="49" t="s">
        <v>147</v>
      </c>
    </row>
    <row r="20" spans="1:6" ht="13.8" thickBot="1">
      <c r="F20" s="8"/>
    </row>
    <row r="21" spans="1:6" ht="13.8" thickBot="1">
      <c r="A21" t="s">
        <v>146</v>
      </c>
      <c r="B21" s="60">
        <f>SUM(D2:D18)</f>
        <v>69599</v>
      </c>
      <c r="F21" s="13"/>
    </row>
    <row r="22" spans="1:6" ht="13.8" thickBot="1">
      <c r="A22" t="s">
        <v>145</v>
      </c>
      <c r="B22" s="60">
        <f>AVERAGE(D2:D18)</f>
        <v>4094.0588235294117</v>
      </c>
      <c r="F22" s="13"/>
    </row>
    <row r="23" spans="1:6" ht="13.8" thickBot="1">
      <c r="A23" t="s">
        <v>144</v>
      </c>
      <c r="B23" s="62">
        <f>MAX(D2:D18)</f>
        <v>8165</v>
      </c>
      <c r="F23" s="13"/>
    </row>
    <row r="24" spans="1:6" ht="13.8" thickBot="1">
      <c r="A24" t="s">
        <v>143</v>
      </c>
      <c r="B24" s="61">
        <f>MIN(D2:D18)</f>
        <v>650</v>
      </c>
      <c r="F24" s="13"/>
    </row>
  </sheetData>
  <phoneticPr fontId="0" type="noConversion"/>
  <pageMargins left="0.75" right="0.75" top="1" bottom="1" header="0" footer="0"/>
  <pageSetup scale="82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FORM1</vt:lpstr>
      <vt:lpstr>FORM2</vt:lpstr>
      <vt:lpstr>RR 1</vt:lpstr>
      <vt:lpstr>RR 2</vt:lpstr>
      <vt:lpstr>RA 3</vt:lpstr>
      <vt:lpstr>RA 4</vt:lpstr>
      <vt:lpstr>RA 5</vt:lpstr>
      <vt:lpstr>FUNC1</vt:lpstr>
      <vt:lpstr>FUNC2</vt:lpstr>
      <vt:lpstr>FUN3</vt:lpstr>
    </vt:vector>
  </TitlesOfParts>
  <Company>Computer Deluxe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Clase Excel Básico</dc:title>
  <dc:subject>Relatores</dc:subject>
  <dc:creator>UMD Edutecno</dc:creator>
  <dc:description>Ejercicios y distribucion de clases para Excel Nivel Básico, temario 2008</dc:description>
  <cp:lastModifiedBy>Stefanny Salas Jimenez</cp:lastModifiedBy>
  <cp:lastPrinted>2008-04-24T08:18:26Z</cp:lastPrinted>
  <dcterms:created xsi:type="dcterms:W3CDTF">2008-03-25T15:00:24Z</dcterms:created>
  <dcterms:modified xsi:type="dcterms:W3CDTF">2026-02-20T23:15:47Z</dcterms:modified>
  <cp:category>Excel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b79903df-169a-4086-8ad3-a7c2c9206708</vt:lpwstr>
  </property>
</Properties>
</file>