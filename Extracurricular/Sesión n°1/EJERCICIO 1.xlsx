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efa\Desktop\Sesión n°1\"/>
    </mc:Choice>
  </mc:AlternateContent>
  <xr:revisionPtr revIDLastSave="0" documentId="13_ncr:1_{AB56E313-FD28-4901-A2A4-D868A38A6879}" xr6:coauthVersionLast="47" xr6:coauthVersionMax="47" xr10:uidLastSave="{00000000-0000-0000-0000-000000000000}"/>
  <bookViews>
    <workbookView xWindow="1152" yWindow="1152" windowWidth="7620" windowHeight="8880" activeTab="1" xr2:uid="{00000000-000D-0000-FFFF-FFFF00000000}"/>
  </bookViews>
  <sheets>
    <sheet name="REF. ABSOLUTA" sheetId="1" r:id="rId1"/>
    <sheet name="REF. ABSOLUTA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1" i="2" l="1"/>
  <c r="M12" i="2"/>
  <c r="M13" i="2"/>
  <c r="M14" i="2"/>
  <c r="M15" i="2"/>
  <c r="M10" i="2"/>
  <c r="L11" i="2"/>
  <c r="L12" i="2"/>
  <c r="L13" i="2"/>
  <c r="L14" i="2"/>
  <c r="L15" i="2"/>
  <c r="L10" i="2"/>
  <c r="K11" i="2"/>
  <c r="K12" i="2"/>
  <c r="K13" i="2"/>
  <c r="K14" i="2"/>
  <c r="K15" i="2"/>
  <c r="K10" i="2"/>
  <c r="F11" i="2"/>
  <c r="F10" i="2"/>
  <c r="F9" i="2"/>
  <c r="F8" i="2"/>
  <c r="F7" i="2"/>
  <c r="E8" i="2"/>
  <c r="E9" i="2"/>
  <c r="E10" i="2"/>
  <c r="E11" i="2"/>
  <c r="E7" i="2"/>
  <c r="D8" i="2"/>
  <c r="D9" i="2"/>
  <c r="D10" i="2"/>
  <c r="D11" i="2"/>
  <c r="D7" i="2"/>
  <c r="C11" i="2"/>
  <c r="C10" i="2"/>
  <c r="C9" i="2"/>
  <c r="C8" i="2"/>
  <c r="C7" i="2"/>
  <c r="I11" i="1"/>
  <c r="I10" i="1"/>
  <c r="I9" i="1"/>
  <c r="I8" i="1"/>
  <c r="I7" i="1"/>
  <c r="D10" i="1"/>
  <c r="D11" i="1"/>
  <c r="D12" i="1"/>
  <c r="D13" i="1"/>
  <c r="D14" i="1"/>
  <c r="D9" i="1"/>
  <c r="B11" i="2"/>
</calcChain>
</file>

<file path=xl/sharedStrings.xml><?xml version="1.0" encoding="utf-8"?>
<sst xmlns="http://schemas.openxmlformats.org/spreadsheetml/2006/main" count="50" uniqueCount="50">
  <si>
    <t>Costo de llamadas a celulares</t>
  </si>
  <si>
    <t>Tasa de Cambio :</t>
  </si>
  <si>
    <t>Llamadas locales:</t>
  </si>
  <si>
    <t>Tarifa por segundo</t>
  </si>
  <si>
    <t>Este valor representa el costo por segundo de llamada local</t>
  </si>
  <si>
    <t>nuevos soles</t>
  </si>
  <si>
    <t>Productos Comprados</t>
  </si>
  <si>
    <t>Precio en  soles</t>
  </si>
  <si>
    <t>Precio en Dólares</t>
  </si>
  <si>
    <t>Chocolates</t>
  </si>
  <si>
    <t>Fecha</t>
  </si>
  <si>
    <t>Tiempo (seg.)</t>
  </si>
  <si>
    <t>Valor en Soles</t>
  </si>
  <si>
    <t>Galletas</t>
  </si>
  <si>
    <t>Gaseosas</t>
  </si>
  <si>
    <t>Frutas</t>
  </si>
  <si>
    <t>Verduras</t>
  </si>
  <si>
    <t>HALLAR LOS TIPOS DE CAMBIOS TOMANDO COMO REFERENCIA LA TARIFA POR SEGUNDO Y LA TASA DE CAMBIO Y COLOCAR SIMBOLO SOL Y DÓLAR</t>
  </si>
  <si>
    <t>USAR OPERADORES Y REFERENCIA ABSOLUTA</t>
  </si>
  <si>
    <r>
      <t>CUSTOMER</t>
    </r>
    <r>
      <rPr>
        <b/>
        <i/>
        <sz val="20"/>
        <rFont val="Arial"/>
        <family val="2"/>
      </rPr>
      <t xml:space="preserve"> </t>
    </r>
    <r>
      <rPr>
        <b/>
        <i/>
        <sz val="20"/>
        <color indexed="44"/>
        <rFont val="Arial"/>
        <family val="2"/>
      </rPr>
      <t>FASHION´S</t>
    </r>
  </si>
  <si>
    <t>HALLAR PRODUCCION POR PORCENTAJE Y COLOCAR EL SIMBOLO DEL SOL</t>
  </si>
  <si>
    <t>HALLAR LOS DIFERENTES TIPOS DE CAMBIO  Y COLOCAR SU SIMBOLO MONETARIO</t>
  </si>
  <si>
    <t>Artículos</t>
  </si>
  <si>
    <t>Producción</t>
  </si>
  <si>
    <t>Almacenes</t>
  </si>
  <si>
    <t>Calcular los precios equivalentes para cada moneda</t>
  </si>
  <si>
    <t>Lima</t>
  </si>
  <si>
    <t>San Miguel</t>
  </si>
  <si>
    <t>Surco</t>
  </si>
  <si>
    <t>Los Olivos</t>
  </si>
  <si>
    <t>Perú</t>
  </si>
  <si>
    <t>Europa</t>
  </si>
  <si>
    <t>Brasil</t>
  </si>
  <si>
    <t>Polos</t>
  </si>
  <si>
    <t>Tipo de Cambio</t>
  </si>
  <si>
    <t>Camisas</t>
  </si>
  <si>
    <t>Pantalones</t>
  </si>
  <si>
    <t>Artículo</t>
  </si>
  <si>
    <t>Precio Dólares</t>
  </si>
  <si>
    <t>Precio Soles</t>
  </si>
  <si>
    <t>Precio Euros</t>
  </si>
  <si>
    <t>Precio Reales</t>
  </si>
  <si>
    <t>Chompas</t>
  </si>
  <si>
    <t>CPU Pentium IV</t>
  </si>
  <si>
    <t>Sacos</t>
  </si>
  <si>
    <t>HD 80 GB Seagate</t>
  </si>
  <si>
    <t>Monitor LG 17"</t>
  </si>
  <si>
    <t>Teclado Genius</t>
  </si>
  <si>
    <t>Mouse Genius</t>
  </si>
  <si>
    <t>Mem. USB Kingston 1GB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</si>
</sst>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 * #,##0.00_ ;_ * \-#,##0.00_ ;_ * &quot;-&quot;??_ ;_ @_ "/>
    <numFmt numFmtId="165" formatCode="_(&quot;€&quot;\ * #,##0.00_);_(&quot;€&quot;\ * \(#,##0.00\);_(&quot;€&quot;\ * &quot;-&quot;??_);_(@_)"/>
    <numFmt numFmtId="166" formatCode="[$S/.-280A]\ #,##0.00_);\([$S/.-280A]\ #,##0.00\)"/>
    <numFmt numFmtId="167" formatCode="0.0000"/>
    <numFmt numFmtId="168" formatCode="_ [$S/.-280A]\ * #,##0.00_ ;_ [$S/.-280A]\ * \-#,##0.00_ ;_ [$S/.-280A]\ * &quot;-&quot;??_ ;_ @_ "/>
    <numFmt numFmtId="169" formatCode="_ &quot;$&quot;\ * #,##0.00_ ;_ &quot;$&quot;\ * \-#,##0.00_ ;_ &quot;$&quot;\ * &quot;-&quot;??_ ;_ @_ "/>
    <numFmt numFmtId="170" formatCode="_ * #,##0_ ;_ * \-#,##0_ ;_ * &quot;-&quot;??_ ;_ @_ "/>
    <numFmt numFmtId="172" formatCode="_-* #,##0.00\ [$€-C0A]_-;\-* #,##0.00\ [$€-C0A]_-;_-* &quot;-&quot;??\ [$€-C0A]_-;_-@_-"/>
    <numFmt numFmtId="173" formatCode="_-[$R$-416]\ * #,##0.00_-;\-[$R$-416]\ * #,##0.00_-;_-[$R$-416]\ * &quot;-&quot;??_-;_-@_-"/>
    <numFmt numFmtId="176" formatCode="&quot;S/&quot;\ #,##0.00"/>
    <numFmt numFmtId="177" formatCode="_-[$€-2]\ * #,##0.00_-;\-[$€-2]\ * #,##0.00_-;_-[$€-2]\ * &quot;-&quot;??_-;_-@_-"/>
    <numFmt numFmtId="178" formatCode="[$R$-416]\ #,##0.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10"/>
      <name val="Arial"/>
      <family val="2"/>
    </font>
    <font>
      <b/>
      <sz val="16"/>
      <color indexed="9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u/>
      <sz val="10"/>
      <name val="Arial"/>
      <family val="2"/>
    </font>
    <font>
      <b/>
      <sz val="14"/>
      <name val="Arial"/>
      <family val="2"/>
    </font>
    <font>
      <sz val="14"/>
      <color theme="1"/>
      <name val="Calibri"/>
      <family val="2"/>
      <scheme val="minor"/>
    </font>
    <font>
      <sz val="16"/>
      <color indexed="16"/>
      <name val="Arial"/>
      <family val="2"/>
    </font>
    <font>
      <sz val="16"/>
      <color indexed="17"/>
      <name val="Arial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i/>
      <sz val="20"/>
      <color indexed="49"/>
      <name val="Arial"/>
      <family val="2"/>
    </font>
    <font>
      <b/>
      <i/>
      <sz val="20"/>
      <name val="Arial"/>
      <family val="2"/>
    </font>
    <font>
      <b/>
      <i/>
      <sz val="20"/>
      <color indexed="44"/>
      <name val="Arial"/>
      <family val="2"/>
    </font>
    <font>
      <b/>
      <sz val="12"/>
      <color rgb="FFFFFF00"/>
      <name val="Calibri"/>
      <family val="2"/>
      <scheme val="minor"/>
    </font>
    <font>
      <b/>
      <sz val="12"/>
      <name val="Arial"/>
      <family val="2"/>
    </font>
    <font>
      <sz val="9"/>
      <color indexed="16"/>
      <name val="Arial"/>
      <family val="2"/>
    </font>
    <font>
      <sz val="9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4"/>
      <name val="Arial"/>
      <family val="2"/>
    </font>
    <font>
      <sz val="16"/>
      <name val="Arial"/>
      <family val="2"/>
    </font>
    <font>
      <sz val="1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5" fontId="4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166" fontId="5" fillId="3" borderId="2" xfId="3" applyNumberFormat="1" applyFont="1" applyFill="1" applyBorder="1" applyAlignment="1">
      <alignment horizontal="center"/>
    </xf>
    <xf numFmtId="0" fontId="6" fillId="0" borderId="0" xfId="0" applyFont="1"/>
    <xf numFmtId="0" fontId="4" fillId="0" borderId="0" xfId="0" applyFont="1"/>
    <xf numFmtId="167" fontId="7" fillId="4" borderId="3" xfId="0" applyNumberFormat="1" applyFont="1" applyFill="1" applyBorder="1"/>
    <xf numFmtId="0" fontId="8" fillId="0" borderId="0" xfId="0" applyFont="1" applyAlignment="1">
      <alignment horizontal="right"/>
    </xf>
    <xf numFmtId="0" fontId="9" fillId="5" borderId="4" xfId="0" applyFont="1" applyFill="1" applyBorder="1" applyAlignment="1">
      <alignment horizontal="center"/>
    </xf>
    <xf numFmtId="0" fontId="4" fillId="0" borderId="0" xfId="0" applyFont="1" applyBorder="1"/>
    <xf numFmtId="0" fontId="10" fillId="4" borderId="4" xfId="0" applyFont="1" applyFill="1" applyBorder="1"/>
    <xf numFmtId="168" fontId="10" fillId="4" borderId="4" xfId="0" applyNumberFormat="1" applyFont="1" applyFill="1" applyBorder="1" applyAlignment="1">
      <alignment horizontal="center"/>
    </xf>
    <xf numFmtId="0" fontId="11" fillId="7" borderId="4" xfId="0" applyFont="1" applyFill="1" applyBorder="1" applyAlignment="1">
      <alignment horizontal="center" vertical="center"/>
    </xf>
    <xf numFmtId="14" fontId="11" fillId="0" borderId="4" xfId="0" applyNumberFormat="1" applyFont="1" applyBorder="1"/>
    <xf numFmtId="0" fontId="11" fillId="0" borderId="4" xfId="0" applyFont="1" applyBorder="1"/>
    <xf numFmtId="0" fontId="12" fillId="0" borderId="0" xfId="0" applyFont="1"/>
    <xf numFmtId="0" fontId="18" fillId="0" borderId="0" xfId="0" applyFont="1"/>
    <xf numFmtId="0" fontId="19" fillId="0" borderId="0" xfId="0" applyFont="1"/>
    <xf numFmtId="0" fontId="17" fillId="10" borderId="4" xfId="0" applyFont="1" applyFill="1" applyBorder="1" applyAlignment="1">
      <alignment horizontal="center"/>
    </xf>
    <xf numFmtId="9" fontId="17" fillId="10" borderId="4" xfId="0" applyNumberFormat="1" applyFont="1" applyFill="1" applyBorder="1" applyAlignment="1">
      <alignment horizontal="center"/>
    </xf>
    <xf numFmtId="0" fontId="19" fillId="0" borderId="0" xfId="0" applyFont="1" applyAlignment="1">
      <alignment horizontal="right"/>
    </xf>
    <xf numFmtId="0" fontId="19" fillId="0" borderId="5" xfId="0" applyFont="1" applyBorder="1" applyAlignment="1">
      <alignment horizontal="right"/>
    </xf>
    <xf numFmtId="0" fontId="19" fillId="0" borderId="6" xfId="0" applyFont="1" applyBorder="1" applyAlignment="1">
      <alignment horizontal="right"/>
    </xf>
    <xf numFmtId="0" fontId="19" fillId="0" borderId="7" xfId="0" applyFont="1" applyBorder="1" applyAlignment="1">
      <alignment horizontal="right"/>
    </xf>
    <xf numFmtId="0" fontId="20" fillId="0" borderId="4" xfId="0" applyFont="1" applyBorder="1" applyAlignment="1">
      <alignment horizontal="left"/>
    </xf>
    <xf numFmtId="170" fontId="21" fillId="0" borderId="4" xfId="1" applyNumberFormat="1" applyFont="1" applyBorder="1"/>
    <xf numFmtId="164" fontId="22" fillId="0" borderId="0" xfId="1" applyFont="1" applyAlignment="1">
      <alignment horizontal="right"/>
    </xf>
    <xf numFmtId="0" fontId="23" fillId="12" borderId="4" xfId="0" applyFont="1" applyFill="1" applyBorder="1" applyAlignment="1">
      <alignment horizontal="center" vertical="center"/>
    </xf>
    <xf numFmtId="0" fontId="24" fillId="0" borderId="4" xfId="0" applyFont="1" applyBorder="1"/>
    <xf numFmtId="0" fontId="24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6" fillId="9" borderId="0" xfId="0" applyFont="1" applyFill="1" applyAlignment="1">
      <alignment horizontal="center"/>
    </xf>
    <xf numFmtId="0" fontId="17" fillId="10" borderId="4" xfId="0" applyFont="1" applyFill="1" applyBorder="1" applyAlignment="1">
      <alignment horizontal="center" vertical="center"/>
    </xf>
    <xf numFmtId="0" fontId="17" fillId="10" borderId="4" xfId="0" applyFont="1" applyFill="1" applyBorder="1" applyAlignment="1">
      <alignment horizontal="center"/>
    </xf>
    <xf numFmtId="168" fontId="25" fillId="8" borderId="4" xfId="0" applyNumberFormat="1" applyFont="1" applyFill="1" applyBorder="1"/>
    <xf numFmtId="169" fontId="26" fillId="6" borderId="4" xfId="2" applyFont="1" applyFill="1" applyBorder="1" applyAlignment="1">
      <alignment horizontal="center"/>
    </xf>
    <xf numFmtId="0" fontId="27" fillId="4" borderId="4" xfId="2" applyNumberFormat="1" applyFont="1" applyFill="1" applyBorder="1"/>
    <xf numFmtId="176" fontId="22" fillId="11" borderId="8" xfId="1" applyNumberFormat="1" applyFont="1" applyFill="1" applyBorder="1" applyAlignment="1">
      <alignment horizontal="right"/>
    </xf>
    <xf numFmtId="177" fontId="22" fillId="11" borderId="9" xfId="0" applyNumberFormat="1" applyFont="1" applyFill="1" applyBorder="1" applyAlignment="1"/>
    <xf numFmtId="178" fontId="22" fillId="11" borderId="10" xfId="0" applyNumberFormat="1" applyFont="1" applyFill="1" applyBorder="1" applyAlignment="1"/>
    <xf numFmtId="168" fontId="24" fillId="4" borderId="4" xfId="0" applyNumberFormat="1" applyFont="1" applyFill="1" applyBorder="1" applyAlignment="1">
      <alignment horizontal="center"/>
    </xf>
    <xf numFmtId="172" fontId="24" fillId="4" borderId="4" xfId="0" applyNumberFormat="1" applyFont="1" applyFill="1" applyBorder="1" applyAlignment="1">
      <alignment horizontal="center"/>
    </xf>
    <xf numFmtId="173" fontId="24" fillId="4" borderId="4" xfId="0" applyNumberFormat="1" applyFont="1" applyFill="1" applyBorder="1" applyAlignment="1">
      <alignment horizontal="center"/>
    </xf>
  </cellXfs>
  <cellStyles count="4">
    <cellStyle name="Millares" xfId="1" builtinId="3"/>
    <cellStyle name="Moneda" xfId="2" builtinId="4"/>
    <cellStyle name="Moneda_Formulas" xfId="3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133350</xdr:rowOff>
    </xdr:from>
    <xdr:to>
      <xdr:col>9</xdr:col>
      <xdr:colOff>323850</xdr:colOff>
      <xdr:row>21</xdr:row>
      <xdr:rowOff>66675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62000" y="4210050"/>
          <a:ext cx="11182350" cy="504825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>
              <a:solidFill>
                <a:srgbClr val="FFFF00"/>
              </a:solidFill>
            </a:rPr>
            <a:t>HALLAR LOS TIPOS DE CAMBIOS TOMANDO COMO REFERENCIA LA TARIFA POR SEGUNDO Y LA TASA DE CAMBIO Y COLOCAR SIMBOLO SOL Y DÓLAR</a:t>
          </a:r>
        </a:p>
        <a:p>
          <a:r>
            <a:rPr lang="es-ES" sz="1100">
              <a:solidFill>
                <a:srgbClr val="FFFF00"/>
              </a:solidFill>
            </a:rPr>
            <a:t>USAR OPERADORES Y REFERENCIA ABSOLUTA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opLeftCell="F1" workbookViewId="0">
      <selection activeCell="I12" sqref="I12"/>
    </sheetView>
  </sheetViews>
  <sheetFormatPr baseColWidth="10" defaultRowHeight="14.4" x14ac:dyDescent="0.3"/>
  <cols>
    <col min="2" max="2" width="15.33203125" bestFit="1" customWidth="1"/>
    <col min="3" max="3" width="18.6640625" customWidth="1"/>
    <col min="4" max="4" width="21" customWidth="1"/>
    <col min="5" max="5" width="16" customWidth="1"/>
    <col min="7" max="7" width="31.44140625" bestFit="1" customWidth="1"/>
    <col min="8" max="8" width="23.33203125" bestFit="1" customWidth="1"/>
    <col min="9" max="9" width="25.6640625" bestFit="1" customWidth="1"/>
  </cols>
  <sheetData>
    <row r="1" spans="1:9" ht="15" thickBot="1" x14ac:dyDescent="0.35"/>
    <row r="2" spans="1:9" ht="21.6" thickBot="1" x14ac:dyDescent="0.45">
      <c r="B2" s="1"/>
      <c r="C2" s="1" t="s">
        <v>0</v>
      </c>
      <c r="G2" s="2" t="s">
        <v>1</v>
      </c>
      <c r="H2" s="3">
        <v>3.36</v>
      </c>
    </row>
    <row r="4" spans="1:9" x14ac:dyDescent="0.3">
      <c r="B4" s="4" t="s">
        <v>2</v>
      </c>
      <c r="D4" t="s">
        <v>3</v>
      </c>
    </row>
    <row r="5" spans="1:9" x14ac:dyDescent="0.3">
      <c r="A5" s="5" t="s">
        <v>4</v>
      </c>
      <c r="B5" s="4"/>
    </row>
    <row r="6" spans="1:9" ht="20.399999999999999" x14ac:dyDescent="0.35">
      <c r="A6" s="5"/>
      <c r="D6" s="6">
        <v>1.358974358974359E-2</v>
      </c>
      <c r="E6" s="7" t="s">
        <v>5</v>
      </c>
      <c r="G6" s="8" t="s">
        <v>6</v>
      </c>
      <c r="H6" s="8" t="s">
        <v>7</v>
      </c>
      <c r="I6" s="8" t="s">
        <v>8</v>
      </c>
    </row>
    <row r="7" spans="1:9" ht="20.399999999999999" x14ac:dyDescent="0.35">
      <c r="D7" s="9"/>
      <c r="G7" s="10" t="s">
        <v>9</v>
      </c>
      <c r="H7" s="11">
        <v>5.2</v>
      </c>
      <c r="I7" s="36">
        <f>H7/H2</f>
        <v>1.5476190476190477</v>
      </c>
    </row>
    <row r="8" spans="1:9" ht="20.399999999999999" x14ac:dyDescent="0.35">
      <c r="B8" s="12" t="s">
        <v>10</v>
      </c>
      <c r="C8" s="12" t="s">
        <v>11</v>
      </c>
      <c r="D8" s="12" t="s">
        <v>12</v>
      </c>
      <c r="G8" s="10" t="s">
        <v>13</v>
      </c>
      <c r="H8" s="11">
        <v>3.4</v>
      </c>
      <c r="I8" s="36">
        <f>H8/H2</f>
        <v>1.0119047619047619</v>
      </c>
    </row>
    <row r="9" spans="1:9" ht="20.399999999999999" x14ac:dyDescent="0.35">
      <c r="B9" s="13">
        <v>41215</v>
      </c>
      <c r="C9" s="14">
        <v>236</v>
      </c>
      <c r="D9" s="35">
        <f>C9*$D$6</f>
        <v>3.2071794871794874</v>
      </c>
      <c r="G9" s="10" t="s">
        <v>14</v>
      </c>
      <c r="H9" s="11">
        <v>3</v>
      </c>
      <c r="I9" s="36">
        <f>H9/H2</f>
        <v>0.8928571428571429</v>
      </c>
    </row>
    <row r="10" spans="1:9" ht="20.399999999999999" x14ac:dyDescent="0.35">
      <c r="B10" s="13">
        <v>41219</v>
      </c>
      <c r="C10" s="14">
        <v>295</v>
      </c>
      <c r="D10" s="35">
        <f t="shared" ref="D10:D14" si="0">C10*$D$6</f>
        <v>4.0089743589743589</v>
      </c>
      <c r="G10" s="10" t="s">
        <v>15</v>
      </c>
      <c r="H10" s="11">
        <v>6</v>
      </c>
      <c r="I10" s="36">
        <f>H10/H2</f>
        <v>1.7857142857142858</v>
      </c>
    </row>
    <row r="11" spans="1:9" ht="20.399999999999999" x14ac:dyDescent="0.35">
      <c r="B11" s="13">
        <v>41223</v>
      </c>
      <c r="C11" s="14">
        <v>77</v>
      </c>
      <c r="D11" s="35">
        <f t="shared" si="0"/>
        <v>1.0464102564102564</v>
      </c>
      <c r="G11" s="10" t="s">
        <v>16</v>
      </c>
      <c r="H11" s="11">
        <v>4</v>
      </c>
      <c r="I11" s="36">
        <f>H11/H2</f>
        <v>1.1904761904761905</v>
      </c>
    </row>
    <row r="12" spans="1:9" ht="17.399999999999999" x14ac:dyDescent="0.3">
      <c r="B12" s="13">
        <v>41228</v>
      </c>
      <c r="C12" s="14">
        <v>254</v>
      </c>
      <c r="D12" s="35">
        <f t="shared" si="0"/>
        <v>3.4517948717948719</v>
      </c>
    </row>
    <row r="13" spans="1:9" ht="17.399999999999999" x14ac:dyDescent="0.3">
      <c r="B13" s="13">
        <v>41234</v>
      </c>
      <c r="C13" s="14">
        <v>288</v>
      </c>
      <c r="D13" s="35">
        <f t="shared" si="0"/>
        <v>3.913846153846154</v>
      </c>
    </row>
    <row r="14" spans="1:9" ht="17.399999999999999" x14ac:dyDescent="0.3">
      <c r="B14" s="13">
        <v>41242</v>
      </c>
      <c r="C14" s="14">
        <v>167</v>
      </c>
      <c r="D14" s="35">
        <f t="shared" si="0"/>
        <v>2.2694871794871796</v>
      </c>
    </row>
    <row r="17" spans="2:2" ht="18" x14ac:dyDescent="0.35">
      <c r="B17" s="15" t="s">
        <v>17</v>
      </c>
    </row>
    <row r="18" spans="2:2" x14ac:dyDescent="0.3">
      <c r="B18" t="s">
        <v>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"/>
  <sheetViews>
    <sheetView tabSelected="1" topLeftCell="H1" workbookViewId="0">
      <selection activeCell="N12" sqref="N12"/>
    </sheetView>
  </sheetViews>
  <sheetFormatPr baseColWidth="10" defaultRowHeight="14.4" x14ac:dyDescent="0.3"/>
  <cols>
    <col min="1" max="1" width="12.44140625" bestFit="1" customWidth="1"/>
    <col min="2" max="2" width="14" bestFit="1" customWidth="1"/>
    <col min="3" max="3" width="14.109375" customWidth="1"/>
    <col min="4" max="6" width="14.109375" bestFit="1" customWidth="1"/>
    <col min="7" max="7" width="5.44140625" customWidth="1"/>
    <col min="8" max="8" width="4.109375" customWidth="1"/>
    <col min="9" max="9" width="22.6640625" customWidth="1"/>
    <col min="10" max="10" width="17.109375" customWidth="1"/>
    <col min="11" max="11" width="15" customWidth="1"/>
    <col min="12" max="12" width="14.6640625" customWidth="1"/>
    <col min="13" max="13" width="16.5546875" customWidth="1"/>
  </cols>
  <sheetData>
    <row r="1" spans="1:13" ht="24.6" x14ac:dyDescent="0.4">
      <c r="A1" s="30" t="s">
        <v>19</v>
      </c>
      <c r="B1" s="31"/>
      <c r="C1" s="31"/>
      <c r="D1" s="31"/>
      <c r="E1" s="31"/>
      <c r="F1" s="31"/>
    </row>
    <row r="2" spans="1:13" ht="15.6" x14ac:dyDescent="0.3">
      <c r="A2" s="32" t="s">
        <v>20</v>
      </c>
      <c r="B2" s="32"/>
      <c r="C2" s="32"/>
      <c r="D2" s="32"/>
      <c r="E2" s="32"/>
      <c r="F2" s="32"/>
      <c r="I2" s="32" t="s">
        <v>21</v>
      </c>
      <c r="J2" s="32"/>
      <c r="K2" s="32"/>
      <c r="L2" s="32"/>
      <c r="M2" s="32"/>
    </row>
    <row r="4" spans="1:13" ht="15.6" x14ac:dyDescent="0.3">
      <c r="A4" s="33" t="s">
        <v>22</v>
      </c>
      <c r="B4" s="33" t="s">
        <v>23</v>
      </c>
      <c r="C4" s="34" t="s">
        <v>24</v>
      </c>
      <c r="D4" s="34"/>
      <c r="E4" s="34"/>
      <c r="F4" s="34"/>
      <c r="I4" s="16" t="s">
        <v>25</v>
      </c>
      <c r="J4" s="17"/>
      <c r="K4" s="17"/>
      <c r="L4" s="17"/>
      <c r="M4" s="17"/>
    </row>
    <row r="5" spans="1:13" ht="15.6" x14ac:dyDescent="0.3">
      <c r="A5" s="33"/>
      <c r="B5" s="33"/>
      <c r="C5" s="18" t="s">
        <v>26</v>
      </c>
      <c r="D5" s="18" t="s">
        <v>27</v>
      </c>
      <c r="E5" s="18" t="s">
        <v>28</v>
      </c>
      <c r="F5" s="18" t="s">
        <v>29</v>
      </c>
      <c r="I5" s="17"/>
      <c r="J5" s="17"/>
      <c r="K5" s="17"/>
      <c r="L5" s="17"/>
      <c r="M5" s="17"/>
    </row>
    <row r="6" spans="1:13" ht="15.6" x14ac:dyDescent="0.3">
      <c r="A6" s="33"/>
      <c r="B6" s="33"/>
      <c r="C6" s="19">
        <v>0.35</v>
      </c>
      <c r="D6" s="19">
        <v>0.15</v>
      </c>
      <c r="E6" s="19">
        <v>0.2</v>
      </c>
      <c r="F6" s="19">
        <v>0.3</v>
      </c>
      <c r="I6" s="17"/>
      <c r="J6" s="20"/>
      <c r="K6" s="21" t="s">
        <v>30</v>
      </c>
      <c r="L6" s="22" t="s">
        <v>31</v>
      </c>
      <c r="M6" s="23" t="s">
        <v>32</v>
      </c>
    </row>
    <row r="7" spans="1:13" ht="15.6" x14ac:dyDescent="0.3">
      <c r="A7" s="24" t="s">
        <v>33</v>
      </c>
      <c r="B7" s="25">
        <v>100000</v>
      </c>
      <c r="C7" s="37">
        <f>B7*$C$6</f>
        <v>35000</v>
      </c>
      <c r="D7" s="37">
        <f>B7*$D$6</f>
        <v>15000</v>
      </c>
      <c r="E7" s="37">
        <f>B7*$E$6</f>
        <v>20000</v>
      </c>
      <c r="F7" s="37">
        <f>B7*$F$6</f>
        <v>30000</v>
      </c>
      <c r="I7" s="17" t="s">
        <v>34</v>
      </c>
      <c r="J7" s="26"/>
      <c r="K7" s="38">
        <v>3.36</v>
      </c>
      <c r="L7" s="39">
        <v>0.85</v>
      </c>
      <c r="M7" s="40">
        <v>5.22</v>
      </c>
    </row>
    <row r="8" spans="1:13" ht="15.6" x14ac:dyDescent="0.3">
      <c r="A8" s="24" t="s">
        <v>35</v>
      </c>
      <c r="B8" s="25">
        <v>150000</v>
      </c>
      <c r="C8" s="37">
        <f>B8*$C$6</f>
        <v>52500</v>
      </c>
      <c r="D8" s="37">
        <f t="shared" ref="D8:D11" si="0">B8*$D$6</f>
        <v>22500</v>
      </c>
      <c r="E8" s="37">
        <f t="shared" ref="E8:E11" si="1">B8*$E$6</f>
        <v>30000</v>
      </c>
      <c r="F8" s="37">
        <f>B8*$F$6</f>
        <v>45000</v>
      </c>
      <c r="I8" s="17"/>
      <c r="J8" s="17"/>
      <c r="K8" s="17"/>
      <c r="L8" s="17"/>
      <c r="M8" s="17"/>
    </row>
    <row r="9" spans="1:13" ht="15.6" x14ac:dyDescent="0.3">
      <c r="A9" s="24" t="s">
        <v>36</v>
      </c>
      <c r="B9" s="25">
        <v>350000</v>
      </c>
      <c r="C9" s="37">
        <f>B9*$C$6</f>
        <v>122499.99999999999</v>
      </c>
      <c r="D9" s="37">
        <f t="shared" si="0"/>
        <v>52500</v>
      </c>
      <c r="E9" s="37">
        <f t="shared" si="1"/>
        <v>70000</v>
      </c>
      <c r="F9" s="37">
        <f>B9*$F$6</f>
        <v>105000</v>
      </c>
      <c r="I9" s="27" t="s">
        <v>37</v>
      </c>
      <c r="J9" s="27" t="s">
        <v>38</v>
      </c>
      <c r="K9" s="27" t="s">
        <v>39</v>
      </c>
      <c r="L9" s="27" t="s">
        <v>40</v>
      </c>
      <c r="M9" s="27" t="s">
        <v>41</v>
      </c>
    </row>
    <row r="10" spans="1:13" ht="15.6" x14ac:dyDescent="0.3">
      <c r="A10" s="24" t="s">
        <v>42</v>
      </c>
      <c r="B10" s="25">
        <v>75000</v>
      </c>
      <c r="C10" s="37">
        <f>B10*$C$6</f>
        <v>26250</v>
      </c>
      <c r="D10" s="37">
        <f t="shared" si="0"/>
        <v>11250</v>
      </c>
      <c r="E10" s="37">
        <f t="shared" si="1"/>
        <v>15000</v>
      </c>
      <c r="F10" s="37">
        <f>B10*$F$6</f>
        <v>22500</v>
      </c>
      <c r="I10" s="28" t="s">
        <v>43</v>
      </c>
      <c r="J10" s="29">
        <v>85</v>
      </c>
      <c r="K10" s="41">
        <f>J10*$K$7</f>
        <v>285.59999999999997</v>
      </c>
      <c r="L10" s="42">
        <f>J10*$L$7</f>
        <v>72.25</v>
      </c>
      <c r="M10" s="43">
        <f>J10*$M$7</f>
        <v>443.7</v>
      </c>
    </row>
    <row r="11" spans="1:13" ht="15.6" x14ac:dyDescent="0.3">
      <c r="A11" s="24" t="s">
        <v>44</v>
      </c>
      <c r="B11" s="25">
        <f>SUM(B7:B10)</f>
        <v>675000</v>
      </c>
      <c r="C11" s="37">
        <f>B11*$C$6</f>
        <v>236249.99999999997</v>
      </c>
      <c r="D11" s="37">
        <f t="shared" si="0"/>
        <v>101250</v>
      </c>
      <c r="E11" s="37">
        <f t="shared" si="1"/>
        <v>135000</v>
      </c>
      <c r="F11" s="37">
        <f>B11*$F$6</f>
        <v>202500</v>
      </c>
      <c r="I11" s="28" t="s">
        <v>45</v>
      </c>
      <c r="J11" s="29">
        <v>42</v>
      </c>
      <c r="K11" s="41">
        <f t="shared" ref="K11:K15" si="2">J11*$K$7</f>
        <v>141.12</v>
      </c>
      <c r="L11" s="42">
        <f t="shared" ref="L11:L15" si="3">J11*$L$7</f>
        <v>35.699999999999996</v>
      </c>
      <c r="M11" s="43">
        <f t="shared" ref="M11:M15" si="4">J11*$M$7</f>
        <v>219.23999999999998</v>
      </c>
    </row>
    <row r="12" spans="1:13" x14ac:dyDescent="0.3">
      <c r="I12" s="28" t="s">
        <v>46</v>
      </c>
      <c r="J12" s="29">
        <v>35</v>
      </c>
      <c r="K12" s="41">
        <f t="shared" si="2"/>
        <v>117.6</v>
      </c>
      <c r="L12" s="42">
        <f t="shared" si="3"/>
        <v>29.75</v>
      </c>
      <c r="M12" s="43">
        <f t="shared" si="4"/>
        <v>182.7</v>
      </c>
    </row>
    <row r="13" spans="1:13" x14ac:dyDescent="0.3">
      <c r="I13" s="28" t="s">
        <v>47</v>
      </c>
      <c r="J13" s="29">
        <v>20</v>
      </c>
      <c r="K13" s="41">
        <f t="shared" si="2"/>
        <v>67.2</v>
      </c>
      <c r="L13" s="42">
        <f t="shared" si="3"/>
        <v>17</v>
      </c>
      <c r="M13" s="43">
        <f t="shared" si="4"/>
        <v>104.39999999999999</v>
      </c>
    </row>
    <row r="14" spans="1:13" x14ac:dyDescent="0.3">
      <c r="I14" s="28" t="s">
        <v>48</v>
      </c>
      <c r="J14" s="29">
        <v>18</v>
      </c>
      <c r="K14" s="41">
        <f t="shared" si="2"/>
        <v>60.48</v>
      </c>
      <c r="L14" s="42">
        <f t="shared" si="3"/>
        <v>15.299999999999999</v>
      </c>
      <c r="M14" s="43">
        <f t="shared" si="4"/>
        <v>93.96</v>
      </c>
    </row>
    <row r="15" spans="1:13" x14ac:dyDescent="0.3">
      <c r="I15" s="28" t="s">
        <v>49</v>
      </c>
      <c r="J15" s="29">
        <v>25</v>
      </c>
      <c r="K15" s="41">
        <f t="shared" si="2"/>
        <v>84</v>
      </c>
      <c r="L15" s="42">
        <f t="shared" si="3"/>
        <v>21.25</v>
      </c>
      <c r="M15" s="43">
        <f t="shared" si="4"/>
        <v>130.5</v>
      </c>
    </row>
    <row r="16" spans="1:13" x14ac:dyDescent="0.3">
      <c r="I16" s="17"/>
      <c r="J16" s="17"/>
      <c r="K16" s="17"/>
      <c r="L16" s="17"/>
      <c r="M16" s="17"/>
    </row>
  </sheetData>
  <mergeCells count="6">
    <mergeCell ref="A1:F1"/>
    <mergeCell ref="A2:F2"/>
    <mergeCell ref="I2:M2"/>
    <mergeCell ref="A4:A6"/>
    <mergeCell ref="B4:B6"/>
    <mergeCell ref="C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REF. ABSOLUTA</vt:lpstr>
      <vt:lpstr>REF. ABSOLUTA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Stefanny Salas Jimenez</cp:lastModifiedBy>
  <dcterms:created xsi:type="dcterms:W3CDTF">2016-10-14T16:17:08Z</dcterms:created>
  <dcterms:modified xsi:type="dcterms:W3CDTF">2026-02-20T21:36:31Z</dcterms:modified>
</cp:coreProperties>
</file>